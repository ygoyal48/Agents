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026"/>
  <workbookPr codeName="ThisWorkbook"/>
  <mc:AlternateContent xmlns:mc="http://schemas.openxmlformats.org/markup-compatibility/2006">
    <mc:Choice Requires="x15">
      <x15ac:absPath xmlns:x15ac="http://schemas.microsoft.com/office/spreadsheetml/2010/11/ac" url="G:\My Drive\Vijay Malik\Blog\Screener Excel Sheet\"/>
    </mc:Choice>
  </mc:AlternateContent>
  <xr:revisionPtr revIDLastSave="0" documentId="13_ncr:1_{5BEBE285-2C30-4C6A-9426-0E8A39984CD3}" xr6:coauthVersionLast="47" xr6:coauthVersionMax="47" xr10:uidLastSave="{00000000-0000-0000-0000-000000000000}"/>
  <bookViews>
    <workbookView xWindow="-120" yWindow="-120" windowWidth="20730" windowHeight="11160" activeTab="1" xr2:uid="{00000000-000D-0000-FFFF-FFFF00000000}"/>
  </bookViews>
  <sheets>
    <sheet name="Instructions" sheetId="8" r:id="rId1"/>
    <sheet name="Dr Vijay Malik Analysis" sheetId="7" r:id="rId2"/>
    <sheet name="Version History" sheetId="10" r:id="rId3"/>
    <sheet name="Data Sheet" sheetId="6" r:id="rId4"/>
  </sheets>
  <definedNames>
    <definedName name="UPDATE">'Data Sheet'!$E$1</definedName>
  </definedNames>
  <calcPr calcId="191029"/>
</workbook>
</file>

<file path=xl/calcChain.xml><?xml version="1.0" encoding="utf-8"?>
<calcChain xmlns="http://schemas.openxmlformats.org/spreadsheetml/2006/main">
  <c r="K93" i="6" l="1"/>
  <c r="J93" i="6"/>
  <c r="I93" i="6"/>
  <c r="H93" i="6"/>
  <c r="G93" i="6"/>
  <c r="F93" i="6"/>
  <c r="E93" i="6"/>
  <c r="D93" i="6"/>
  <c r="C93" i="6"/>
  <c r="B93" i="6"/>
  <c r="B6" i="6"/>
  <c r="E1" i="6"/>
  <c r="K75" i="7"/>
  <c r="J75" i="7"/>
  <c r="I75" i="7"/>
  <c r="H75" i="7"/>
  <c r="G75" i="7"/>
  <c r="F75" i="7"/>
  <c r="E75" i="7"/>
  <c r="D75" i="7"/>
  <c r="C75" i="7"/>
  <c r="B75" i="7"/>
  <c r="K74" i="7"/>
  <c r="J74" i="7"/>
  <c r="I74" i="7"/>
  <c r="H74" i="7"/>
  <c r="G74" i="7"/>
  <c r="F74" i="7"/>
  <c r="E74" i="7"/>
  <c r="D74" i="7"/>
  <c r="C74" i="7"/>
  <c r="B74" i="7"/>
  <c r="K73" i="7"/>
  <c r="J73" i="7"/>
  <c r="I73" i="7"/>
  <c r="H73" i="7"/>
  <c r="G73" i="7"/>
  <c r="F73" i="7"/>
  <c r="E73" i="7"/>
  <c r="D73" i="7"/>
  <c r="C73" i="7"/>
  <c r="B73" i="7"/>
  <c r="K72" i="7"/>
  <c r="J72" i="7"/>
  <c r="I72" i="7"/>
  <c r="H72" i="7"/>
  <c r="G72" i="7"/>
  <c r="F72" i="7"/>
  <c r="E72" i="7"/>
  <c r="D72" i="7"/>
  <c r="C72" i="7"/>
  <c r="B72" i="7"/>
  <c r="K71" i="7"/>
  <c r="J71" i="7"/>
  <c r="I71" i="7"/>
  <c r="H71" i="7"/>
  <c r="G71" i="7"/>
  <c r="F71" i="7"/>
  <c r="E71" i="7"/>
  <c r="D71" i="7"/>
  <c r="C71" i="7"/>
  <c r="B71" i="7"/>
  <c r="K70" i="7"/>
  <c r="J70" i="7"/>
  <c r="I70" i="7"/>
  <c r="H70" i="7"/>
  <c r="G70" i="7"/>
  <c r="F70" i="7"/>
  <c r="E70" i="7"/>
  <c r="D70" i="7"/>
  <c r="C70" i="7"/>
  <c r="B70" i="7"/>
  <c r="N68" i="7"/>
  <c r="K68" i="7"/>
  <c r="J68" i="7"/>
  <c r="I68" i="7"/>
  <c r="H68" i="7"/>
  <c r="G68" i="7"/>
  <c r="F68" i="7"/>
  <c r="E68" i="7"/>
  <c r="D68" i="7"/>
  <c r="C68" i="7"/>
  <c r="B68" i="7"/>
  <c r="B66" i="7"/>
  <c r="B65" i="7"/>
  <c r="B64" i="7"/>
  <c r="K62" i="7"/>
  <c r="J62" i="7"/>
  <c r="I62" i="7"/>
  <c r="H62" i="7"/>
  <c r="G62" i="7"/>
  <c r="F62" i="7"/>
  <c r="E62" i="7"/>
  <c r="D62" i="7"/>
  <c r="C62" i="7"/>
  <c r="B62" i="7"/>
  <c r="M61" i="7"/>
  <c r="K61" i="7"/>
  <c r="J61" i="7"/>
  <c r="I61" i="7"/>
  <c r="H61" i="7"/>
  <c r="G61" i="7"/>
  <c r="F61" i="7"/>
  <c r="E61" i="7"/>
  <c r="D61" i="7"/>
  <c r="C61" i="7"/>
  <c r="B61" i="7"/>
  <c r="M60" i="7"/>
  <c r="K60" i="7"/>
  <c r="J60" i="7"/>
  <c r="I60" i="7"/>
  <c r="H60" i="7"/>
  <c r="G60" i="7"/>
  <c r="F60" i="7"/>
  <c r="E60" i="7"/>
  <c r="D60" i="7"/>
  <c r="C60" i="7"/>
  <c r="B60" i="7"/>
  <c r="M59" i="7"/>
  <c r="K59" i="7"/>
  <c r="J59" i="7"/>
  <c r="I59" i="7"/>
  <c r="H59" i="7"/>
  <c r="G59" i="7"/>
  <c r="F59" i="7"/>
  <c r="E59" i="7"/>
  <c r="D59" i="7"/>
  <c r="C59" i="7"/>
  <c r="B59" i="7"/>
  <c r="M58" i="7"/>
  <c r="K58" i="7"/>
  <c r="J58" i="7"/>
  <c r="I58" i="7"/>
  <c r="H58" i="7"/>
  <c r="G58" i="7"/>
  <c r="F58" i="7"/>
  <c r="E58" i="7"/>
  <c r="D58" i="7"/>
  <c r="C58" i="7"/>
  <c r="B58" i="7"/>
  <c r="M57" i="7"/>
  <c r="K57" i="7"/>
  <c r="J57" i="7"/>
  <c r="I57" i="7"/>
  <c r="H57" i="7"/>
  <c r="G57" i="7"/>
  <c r="F57" i="7"/>
  <c r="E57" i="7"/>
  <c r="D57" i="7"/>
  <c r="C57" i="7"/>
  <c r="B57" i="7"/>
  <c r="K55" i="7"/>
  <c r="J55" i="7"/>
  <c r="I55" i="7"/>
  <c r="H55" i="7"/>
  <c r="G55" i="7"/>
  <c r="F55" i="7"/>
  <c r="E55" i="7"/>
  <c r="D55" i="7"/>
  <c r="C55" i="7"/>
  <c r="M54" i="7"/>
  <c r="K54" i="7"/>
  <c r="J54" i="7"/>
  <c r="I54" i="7"/>
  <c r="H54" i="7"/>
  <c r="G54" i="7"/>
  <c r="F54" i="7"/>
  <c r="E54" i="7"/>
  <c r="D54" i="7"/>
  <c r="C54" i="7"/>
  <c r="K52" i="7"/>
  <c r="J52" i="7"/>
  <c r="I52" i="7"/>
  <c r="H52" i="7"/>
  <c r="G52" i="7"/>
  <c r="F52" i="7"/>
  <c r="E52" i="7"/>
  <c r="D52" i="7"/>
  <c r="C52" i="7"/>
  <c r="B52" i="7"/>
  <c r="S51" i="7"/>
  <c r="R51" i="7"/>
  <c r="Q51" i="7"/>
  <c r="P51" i="7"/>
  <c r="O51" i="7"/>
  <c r="K51" i="7"/>
  <c r="J51" i="7"/>
  <c r="I51" i="7"/>
  <c r="H51" i="7"/>
  <c r="G51" i="7"/>
  <c r="F51" i="7"/>
  <c r="E51" i="7"/>
  <c r="D51" i="7"/>
  <c r="C51" i="7"/>
  <c r="B51" i="7"/>
  <c r="S50" i="7"/>
  <c r="R50" i="7"/>
  <c r="Q50" i="7"/>
  <c r="P50" i="7"/>
  <c r="O50" i="7"/>
  <c r="K50" i="7"/>
  <c r="J50" i="7"/>
  <c r="I50" i="7"/>
  <c r="H50" i="7"/>
  <c r="G50" i="7"/>
  <c r="F50" i="7"/>
  <c r="E50" i="7"/>
  <c r="D50" i="7"/>
  <c r="C50" i="7"/>
  <c r="B50" i="7"/>
  <c r="L48" i="7"/>
  <c r="K48" i="7"/>
  <c r="J48" i="7"/>
  <c r="I48" i="7"/>
  <c r="H48" i="7"/>
  <c r="G48" i="7"/>
  <c r="F48" i="7"/>
  <c r="E48" i="7"/>
  <c r="D48" i="7"/>
  <c r="C48" i="7"/>
  <c r="B48" i="7"/>
  <c r="L47" i="7"/>
  <c r="K47" i="7"/>
  <c r="J47" i="7"/>
  <c r="I47" i="7"/>
  <c r="H47" i="7"/>
  <c r="G47" i="7"/>
  <c r="F47" i="7"/>
  <c r="E47" i="7"/>
  <c r="D47" i="7"/>
  <c r="C47" i="7"/>
  <c r="B47" i="7"/>
  <c r="S46" i="7"/>
  <c r="R46" i="7"/>
  <c r="Q46" i="7"/>
  <c r="P46" i="7"/>
  <c r="O46" i="7"/>
  <c r="K46" i="7"/>
  <c r="J46" i="7"/>
  <c r="I46" i="7"/>
  <c r="H46" i="7"/>
  <c r="G46" i="7"/>
  <c r="F46" i="7"/>
  <c r="E46" i="7"/>
  <c r="D46" i="7"/>
  <c r="C46" i="7"/>
  <c r="B46" i="7"/>
  <c r="K45" i="7"/>
  <c r="J45" i="7"/>
  <c r="I45" i="7"/>
  <c r="H45" i="7"/>
  <c r="G45" i="7"/>
  <c r="F45" i="7"/>
  <c r="E45" i="7"/>
  <c r="D45" i="7"/>
  <c r="C45" i="7"/>
  <c r="B45" i="7"/>
  <c r="K44" i="7"/>
  <c r="J44" i="7"/>
  <c r="I44" i="7"/>
  <c r="H44" i="7"/>
  <c r="G44" i="7"/>
  <c r="F44" i="7"/>
  <c r="E44" i="7"/>
  <c r="D44" i="7"/>
  <c r="C44" i="7"/>
  <c r="B44" i="7"/>
  <c r="S43" i="7"/>
  <c r="R43" i="7"/>
  <c r="Q43" i="7"/>
  <c r="P43" i="7"/>
  <c r="O43" i="7"/>
  <c r="M43" i="7"/>
  <c r="K43" i="7"/>
  <c r="J43" i="7"/>
  <c r="I43" i="7"/>
  <c r="H43" i="7"/>
  <c r="G43" i="7"/>
  <c r="F43" i="7"/>
  <c r="E43" i="7"/>
  <c r="D43" i="7"/>
  <c r="C43" i="7"/>
  <c r="B43" i="7"/>
  <c r="K41" i="7"/>
  <c r="J41" i="7"/>
  <c r="I41" i="7"/>
  <c r="H41" i="7"/>
  <c r="G41" i="7"/>
  <c r="F41" i="7"/>
  <c r="E41" i="7"/>
  <c r="D41" i="7"/>
  <c r="C41" i="7"/>
  <c r="B41" i="7"/>
  <c r="K40" i="7"/>
  <c r="J40" i="7"/>
  <c r="I40" i="7"/>
  <c r="H40" i="7"/>
  <c r="G40" i="7"/>
  <c r="F40" i="7"/>
  <c r="E40" i="7"/>
  <c r="D40" i="7"/>
  <c r="C40" i="7"/>
  <c r="B40" i="7"/>
  <c r="K38" i="7"/>
  <c r="J38" i="7"/>
  <c r="I38" i="7"/>
  <c r="H38" i="7"/>
  <c r="G38" i="7"/>
  <c r="F38" i="7"/>
  <c r="E38" i="7"/>
  <c r="D38" i="7"/>
  <c r="C38" i="7"/>
  <c r="K37" i="7"/>
  <c r="J37" i="7"/>
  <c r="I37" i="7"/>
  <c r="H37" i="7"/>
  <c r="G37" i="7"/>
  <c r="F37" i="7"/>
  <c r="E37" i="7"/>
  <c r="D37" i="7"/>
  <c r="C37" i="7"/>
  <c r="K36" i="7"/>
  <c r="J36" i="7"/>
  <c r="I36" i="7"/>
  <c r="H36" i="7"/>
  <c r="G36" i="7"/>
  <c r="F36" i="7"/>
  <c r="E36" i="7"/>
  <c r="D36" i="7"/>
  <c r="C36" i="7"/>
  <c r="K35" i="7"/>
  <c r="J35" i="7"/>
  <c r="I35" i="7"/>
  <c r="H35" i="7"/>
  <c r="G35" i="7"/>
  <c r="F35" i="7"/>
  <c r="E35" i="7"/>
  <c r="D35" i="7"/>
  <c r="C35" i="7"/>
  <c r="K34" i="7"/>
  <c r="J34" i="7"/>
  <c r="I34" i="7"/>
  <c r="H34" i="7"/>
  <c r="G34" i="7"/>
  <c r="F34" i="7"/>
  <c r="E34" i="7"/>
  <c r="D34" i="7"/>
  <c r="C34" i="7"/>
  <c r="K32" i="7"/>
  <c r="J32" i="7"/>
  <c r="I32" i="7"/>
  <c r="H32" i="7"/>
  <c r="G32" i="7"/>
  <c r="F32" i="7"/>
  <c r="E32" i="7"/>
  <c r="K31" i="7"/>
  <c r="J31" i="7"/>
  <c r="I31" i="7"/>
  <c r="H31" i="7"/>
  <c r="G31" i="7"/>
  <c r="F31" i="7"/>
  <c r="E31" i="7"/>
  <c r="D31" i="7"/>
  <c r="C31" i="7"/>
  <c r="K30" i="7"/>
  <c r="J30" i="7"/>
  <c r="I30" i="7"/>
  <c r="H30" i="7"/>
  <c r="G30" i="7"/>
  <c r="F30" i="7"/>
  <c r="E30" i="7"/>
  <c r="D30" i="7"/>
  <c r="C30" i="7"/>
  <c r="K29" i="7"/>
  <c r="J29" i="7"/>
  <c r="I29" i="7"/>
  <c r="H29" i="7"/>
  <c r="G29" i="7"/>
  <c r="F29" i="7"/>
  <c r="E29" i="7"/>
  <c r="D29" i="7"/>
  <c r="C29" i="7"/>
  <c r="L27" i="7"/>
  <c r="K27" i="7"/>
  <c r="J27" i="7"/>
  <c r="I27" i="7"/>
  <c r="H27" i="7"/>
  <c r="G27" i="7"/>
  <c r="F27" i="7"/>
  <c r="E27" i="7"/>
  <c r="D27" i="7"/>
  <c r="C27" i="7"/>
  <c r="B27" i="7"/>
  <c r="L26" i="7"/>
  <c r="K26" i="7"/>
  <c r="J26" i="7"/>
  <c r="I26" i="7"/>
  <c r="H26" i="7"/>
  <c r="G26" i="7"/>
  <c r="F26" i="7"/>
  <c r="E26" i="7"/>
  <c r="D26" i="7"/>
  <c r="C26" i="7"/>
  <c r="B26" i="7"/>
  <c r="M24" i="7"/>
  <c r="K24" i="7"/>
  <c r="J24" i="7"/>
  <c r="I24" i="7"/>
  <c r="H24" i="7"/>
  <c r="G24" i="7"/>
  <c r="F24" i="7"/>
  <c r="E24" i="7"/>
  <c r="M22" i="7"/>
  <c r="K22" i="7"/>
  <c r="J22" i="7"/>
  <c r="I22" i="7"/>
  <c r="H22" i="7"/>
  <c r="G22" i="7"/>
  <c r="F22" i="7"/>
  <c r="E22" i="7"/>
  <c r="D22" i="7"/>
  <c r="C22" i="7"/>
  <c r="B22" i="7"/>
  <c r="M21" i="7"/>
  <c r="K21" i="7"/>
  <c r="J21" i="7"/>
  <c r="I21" i="7"/>
  <c r="H21" i="7"/>
  <c r="G21" i="7"/>
  <c r="F21" i="7"/>
  <c r="E21" i="7"/>
  <c r="D21" i="7"/>
  <c r="C21" i="7"/>
  <c r="N20" i="7"/>
  <c r="M20" i="7"/>
  <c r="K20" i="7"/>
  <c r="J20" i="7"/>
  <c r="I20" i="7"/>
  <c r="H20" i="7"/>
  <c r="G20" i="7"/>
  <c r="F20" i="7"/>
  <c r="E20" i="7"/>
  <c r="D20" i="7"/>
  <c r="C20" i="7"/>
  <c r="B20" i="7"/>
  <c r="N19" i="7"/>
  <c r="M19" i="7"/>
  <c r="K19" i="7"/>
  <c r="J19" i="7"/>
  <c r="I19" i="7"/>
  <c r="H19" i="7"/>
  <c r="G19" i="7"/>
  <c r="F19" i="7"/>
  <c r="E19" i="7"/>
  <c r="D19" i="7"/>
  <c r="C19" i="7"/>
  <c r="B19" i="7"/>
  <c r="N18" i="7"/>
  <c r="M18" i="7"/>
  <c r="K18" i="7"/>
  <c r="J18" i="7"/>
  <c r="I18" i="7"/>
  <c r="H18" i="7"/>
  <c r="G18" i="7"/>
  <c r="F18" i="7"/>
  <c r="E18" i="7"/>
  <c r="D18" i="7"/>
  <c r="C18" i="7"/>
  <c r="B18" i="7"/>
  <c r="N17" i="7"/>
  <c r="M17" i="7"/>
  <c r="K17" i="7"/>
  <c r="J17" i="7"/>
  <c r="I17" i="7"/>
  <c r="H17" i="7"/>
  <c r="G17" i="7"/>
  <c r="F17" i="7"/>
  <c r="E17" i="7"/>
  <c r="D17" i="7"/>
  <c r="C17" i="7"/>
  <c r="O16" i="7"/>
  <c r="M16" i="7"/>
  <c r="K16" i="7"/>
  <c r="J16" i="7"/>
  <c r="I16" i="7"/>
  <c r="H16" i="7"/>
  <c r="G16" i="7"/>
  <c r="F16" i="7"/>
  <c r="E16" i="7"/>
  <c r="D16" i="7"/>
  <c r="C16" i="7"/>
  <c r="O15" i="7"/>
  <c r="M15" i="7"/>
  <c r="K15" i="7"/>
  <c r="J15" i="7"/>
  <c r="I15" i="7"/>
  <c r="H15" i="7"/>
  <c r="G15" i="7"/>
  <c r="F15" i="7"/>
  <c r="E15" i="7"/>
  <c r="D15" i="7"/>
  <c r="C15" i="7"/>
  <c r="B15" i="7"/>
  <c r="O14" i="7"/>
  <c r="L14" i="7"/>
  <c r="K14" i="7"/>
  <c r="J14" i="7"/>
  <c r="I14" i="7"/>
  <c r="H14" i="7"/>
  <c r="G14" i="7"/>
  <c r="F14" i="7"/>
  <c r="E14" i="7"/>
  <c r="D14" i="7"/>
  <c r="C14" i="7"/>
  <c r="B14" i="7"/>
  <c r="O13" i="7"/>
  <c r="M13" i="7"/>
  <c r="L13" i="7"/>
  <c r="K13" i="7"/>
  <c r="J13" i="7"/>
  <c r="I13" i="7"/>
  <c r="H13" i="7"/>
  <c r="G13" i="7"/>
  <c r="F13" i="7"/>
  <c r="E13" i="7"/>
  <c r="D13" i="7"/>
  <c r="C13" i="7"/>
  <c r="B13" i="7"/>
  <c r="O12" i="7"/>
  <c r="L12" i="7"/>
  <c r="K12" i="7"/>
  <c r="J12" i="7"/>
  <c r="I12" i="7"/>
  <c r="H12" i="7"/>
  <c r="G12" i="7"/>
  <c r="F12" i="7"/>
  <c r="E12" i="7"/>
  <c r="D12" i="7"/>
  <c r="C12" i="7"/>
  <c r="B12" i="7"/>
  <c r="L11" i="7"/>
  <c r="K11" i="7"/>
  <c r="J11" i="7"/>
  <c r="I11" i="7"/>
  <c r="H11" i="7"/>
  <c r="G11" i="7"/>
  <c r="F11" i="7"/>
  <c r="E11" i="7"/>
  <c r="D11" i="7"/>
  <c r="C11" i="7"/>
  <c r="B11" i="7"/>
  <c r="O10" i="7"/>
  <c r="L10" i="7"/>
  <c r="K10" i="7"/>
  <c r="J10" i="7"/>
  <c r="I10" i="7"/>
  <c r="H10" i="7"/>
  <c r="G10" i="7"/>
  <c r="F10" i="7"/>
  <c r="E10" i="7"/>
  <c r="D10" i="7"/>
  <c r="C10" i="7"/>
  <c r="B10" i="7"/>
  <c r="S9" i="7"/>
  <c r="R9" i="7"/>
  <c r="Q9" i="7"/>
  <c r="P9" i="7"/>
  <c r="O9" i="7"/>
  <c r="M9" i="7"/>
  <c r="L9" i="7"/>
  <c r="K9" i="7"/>
  <c r="J9" i="7"/>
  <c r="I9" i="7"/>
  <c r="H9" i="7"/>
  <c r="G9" i="7"/>
  <c r="F9" i="7"/>
  <c r="E9" i="7"/>
  <c r="D9" i="7"/>
  <c r="C9" i="7"/>
  <c r="B9" i="7"/>
  <c r="N8" i="7"/>
  <c r="M8" i="7"/>
  <c r="L8" i="7"/>
  <c r="K8" i="7"/>
  <c r="J8" i="7"/>
  <c r="I8" i="7"/>
  <c r="H8" i="7"/>
  <c r="G8" i="7"/>
  <c r="F8" i="7"/>
  <c r="E8" i="7"/>
  <c r="D8" i="7"/>
  <c r="C8" i="7"/>
  <c r="B8" i="7"/>
  <c r="M7" i="7"/>
  <c r="L7" i="7"/>
  <c r="K7" i="7"/>
  <c r="J7" i="7"/>
  <c r="I7" i="7"/>
  <c r="H7" i="7"/>
  <c r="G7" i="7"/>
  <c r="F7" i="7"/>
  <c r="E7" i="7"/>
  <c r="D7" i="7"/>
  <c r="C7" i="7"/>
  <c r="B7" i="7"/>
  <c r="R6" i="7"/>
  <c r="Q6" i="7"/>
  <c r="P6" i="7"/>
  <c r="O6" i="7"/>
  <c r="M6" i="7"/>
  <c r="L6" i="7"/>
  <c r="K6" i="7"/>
  <c r="J6" i="7"/>
  <c r="I6" i="7"/>
  <c r="H6" i="7"/>
  <c r="G6" i="7"/>
  <c r="F6" i="7"/>
  <c r="E6" i="7"/>
  <c r="D6" i="7"/>
  <c r="C6" i="7"/>
  <c r="B6" i="7"/>
  <c r="S5" i="7"/>
  <c r="R5" i="7"/>
  <c r="Q5" i="7"/>
  <c r="P5" i="7"/>
  <c r="O5" i="7"/>
  <c r="L5" i="7"/>
  <c r="K5" i="7"/>
  <c r="J5" i="7"/>
  <c r="I5" i="7"/>
  <c r="H5" i="7"/>
  <c r="G5" i="7"/>
  <c r="F5" i="7"/>
  <c r="E5" i="7"/>
  <c r="D5" i="7"/>
  <c r="C5" i="7"/>
  <c r="B5" i="7"/>
  <c r="S4" i="7"/>
  <c r="R4" i="7"/>
  <c r="Q4" i="7"/>
  <c r="P4" i="7"/>
  <c r="O4" i="7"/>
  <c r="L4" i="7"/>
  <c r="K4" i="7"/>
  <c r="J4" i="7"/>
  <c r="I4" i="7"/>
  <c r="H4" i="7"/>
  <c r="G4" i="7"/>
  <c r="F4" i="7"/>
  <c r="E4" i="7"/>
  <c r="D4" i="7"/>
  <c r="C4" i="7"/>
  <c r="B4" i="7"/>
  <c r="S3" i="7"/>
  <c r="R3" i="7"/>
  <c r="Q3" i="7"/>
  <c r="P3" i="7"/>
  <c r="O3" i="7"/>
  <c r="L3" i="7"/>
  <c r="K3" i="7"/>
  <c r="J3" i="7"/>
  <c r="I3" i="7"/>
  <c r="H3" i="7"/>
  <c r="G3" i="7"/>
  <c r="F3" i="7"/>
  <c r="E3" i="7"/>
  <c r="D3" i="7"/>
  <c r="C3" i="7"/>
  <c r="B3" i="7"/>
  <c r="K2" i="7"/>
  <c r="J2" i="7"/>
  <c r="I2" i="7"/>
  <c r="H2" i="7"/>
  <c r="G2" i="7"/>
  <c r="F2" i="7"/>
  <c r="E2" i="7"/>
  <c r="D2" i="7"/>
  <c r="C2" i="7"/>
  <c r="B2" i="7"/>
  <c r="L1" i="7"/>
  <c r="D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Vijay Malik</author>
  </authors>
  <commentList>
    <comment ref="L2" authorId="0" shapeId="0" xr:uid="{00000000-0006-0000-0100-000001000000}">
      <text>
        <r>
          <rPr>
            <sz val="9"/>
            <color indexed="81"/>
            <rFont val="Tahoma"/>
            <family val="2"/>
          </rPr>
          <t>Please note that if the data for any of the last 4 quarter is absent in the "Data Sheet", then the column L, which contains last 12 months (TTM) figure, will remain blank.</t>
        </r>
      </text>
    </comment>
    <comment ref="A3" authorId="0" shapeId="0" xr:uid="{00000000-0006-0000-0100-000002000000}">
      <text>
        <r>
          <rPr>
            <sz val="9"/>
            <color indexed="81"/>
            <rFont val="Tahoma"/>
            <family val="2"/>
          </rPr>
          <t>Represents the operating income for the company in a given financial year. 
The conditional formatting highlights the years where sales increased from previous year as "</t>
        </r>
        <r>
          <rPr>
            <b/>
            <sz val="9"/>
            <color indexed="81"/>
            <rFont val="Tahoma"/>
            <family val="2"/>
          </rPr>
          <t>Green</t>
        </r>
        <r>
          <rPr>
            <sz val="9"/>
            <color indexed="81"/>
            <rFont val="Tahoma"/>
            <family val="2"/>
          </rPr>
          <t>" and years where sales decreased from previous year as "</t>
        </r>
        <r>
          <rPr>
            <b/>
            <sz val="9"/>
            <color indexed="81"/>
            <rFont val="Tahoma"/>
            <family val="2"/>
          </rPr>
          <t>Red</t>
        </r>
        <r>
          <rPr>
            <sz val="9"/>
            <color indexed="81"/>
            <rFont val="Tahoma"/>
            <family val="2"/>
          </rPr>
          <t>"
Higher the sales growth the better. However, very high growth rates in excess of 35-50% are usually unsustainable.</t>
        </r>
      </text>
    </comment>
    <comment ref="N3" authorId="0" shapeId="0" xr:uid="{00000000-0006-0000-0100-000003000000}">
      <text>
        <r>
          <rPr>
            <sz val="9"/>
            <color indexed="81"/>
            <rFont val="Tahoma"/>
            <family val="2"/>
          </rPr>
          <t xml:space="preserve">Represents the trend of growth in sales for last 10 years, last 7 years, last 5 years, last 3 years and the growth in last 12 months over last financial year sales
Conditional formatting: If the Growth rate is negative, then the cell will be highlighted </t>
        </r>
        <r>
          <rPr>
            <b/>
            <sz val="9"/>
            <color indexed="81"/>
            <rFont val="Tahoma"/>
            <family val="2"/>
          </rPr>
          <t>"Red".</t>
        </r>
        <r>
          <rPr>
            <sz val="9"/>
            <color indexed="81"/>
            <rFont val="Tahoma"/>
            <family val="2"/>
          </rPr>
          <t xml:space="preserve">
Assessment of sales growth trend is essential to find out whether the company has been showing consistent sales growth year on year or it is influenced by very high/low sales growth in any particular year
Higher the sales growth the better. However, very high growth rates in excess of 35-50% are usually unsustainable</t>
        </r>
      </text>
    </comment>
    <comment ref="A4" authorId="0" shapeId="0" xr:uid="{00000000-0006-0000-0100-000004000000}">
      <text>
        <r>
          <rPr>
            <sz val="9"/>
            <color indexed="81"/>
            <rFont val="Tahoma"/>
            <family val="2"/>
          </rPr>
          <t>It represents EBITDA - Non Operating Income. (EBITDA = Earnings before Interest, Tax, Depreciation &amp; Amortization). 
Higher the operating profit the better</t>
        </r>
      </text>
    </comment>
    <comment ref="N4" authorId="0" shapeId="0" xr:uid="{00000000-0006-0000-0100-000005000000}">
      <text>
        <r>
          <rPr>
            <sz val="9"/>
            <color indexed="81"/>
            <rFont val="Tahoma"/>
            <family val="2"/>
          </rPr>
          <t xml:space="preserve">Represents the trend of average Operating Profit Margin for last 10 years, last 7 years, last 5 years, last 3 years and the OPM in last 12 months 
Conditional formatting: If the Growth rate is negative, then the cell will be highlighted </t>
        </r>
        <r>
          <rPr>
            <b/>
            <sz val="9"/>
            <color indexed="81"/>
            <rFont val="Tahoma"/>
            <family val="2"/>
          </rPr>
          <t>"Red".</t>
        </r>
        <r>
          <rPr>
            <sz val="9"/>
            <color indexed="81"/>
            <rFont val="Tahoma"/>
            <family val="2"/>
          </rPr>
          <t xml:space="preserve">
Higher the OPM the better.
Focus on the trend of OPM over the years. If OPM has been fluctuating a lot over the years in a cyclical manner, then it means that the company does not have pricing power over its customers and is not able to pass on increase in raw material costs to them.
On the contrary, if OPM is stable/improving over the years, then it means that the company has sustainable advantages (MOAT) and is able to pass on the increase in raw material costs to its buyers to protect its margins"
</t>
        </r>
      </text>
    </comment>
    <comment ref="A5" authorId="0" shapeId="0" xr:uid="{00000000-0006-0000-0100-000006000000}">
      <text>
        <r>
          <rPr>
            <sz val="9"/>
            <color indexed="81"/>
            <rFont val="Tahoma"/>
            <family val="2"/>
          </rPr>
          <t xml:space="preserve">= Operating Profit/Sales
The conditional formatting highlights the years where OPM increased from previous year as </t>
        </r>
        <r>
          <rPr>
            <b/>
            <sz val="9"/>
            <color indexed="81"/>
            <rFont val="Tahoma"/>
            <family val="2"/>
          </rPr>
          <t>"Green"</t>
        </r>
        <r>
          <rPr>
            <sz val="9"/>
            <color indexed="81"/>
            <rFont val="Tahoma"/>
            <family val="2"/>
          </rPr>
          <t xml:space="preserve"> and years where OPM decreased from previous year as </t>
        </r>
        <r>
          <rPr>
            <b/>
            <sz val="9"/>
            <color indexed="81"/>
            <rFont val="Tahoma"/>
            <family val="2"/>
          </rPr>
          <t>"Red"</t>
        </r>
        <r>
          <rPr>
            <sz val="9"/>
            <color indexed="81"/>
            <rFont val="Tahoma"/>
            <family val="2"/>
          </rPr>
          <t xml:space="preserve">
Higher the OPM the better.
Focus on the trend of OPM over the years. If OPM has been fluctuating a lot over the years in a cyclical manner, then it means that the company does not have pricing power over its customers and is not able to pass on increase in raw material costs to them.
On the contrary, if OPM is stable/improving over the years, then it means that the company has sustainable advantages (MOAT) and is able to pass on the increase in raw material costs to its buyers to protect its margins"</t>
        </r>
      </text>
    </comment>
    <comment ref="N5" authorId="0" shapeId="0" xr:uid="{00000000-0006-0000-0100-000007000000}">
      <text>
        <r>
          <rPr>
            <sz val="9"/>
            <color indexed="81"/>
            <rFont val="Tahoma"/>
            <family val="2"/>
          </rPr>
          <t xml:space="preserve">Represents the trend of growth in net profit after tax (PAT) for last 10 years, last 7 years, last 5 years, last 3 years and the growth in last 12 months over last financial year PAT
Conditional formatting: If the Growth rate is negative, then the cell will be highlighted </t>
        </r>
        <r>
          <rPr>
            <b/>
            <sz val="9"/>
            <color indexed="81"/>
            <rFont val="Tahoma"/>
            <family val="2"/>
          </rPr>
          <t>"Red".</t>
        </r>
        <r>
          <rPr>
            <sz val="9"/>
            <color indexed="81"/>
            <rFont val="Tahoma"/>
            <family val="2"/>
          </rPr>
          <t xml:space="preserve">
Assessment of PAT growth trend is essential to find out whether the company has been showing consistent PAT growth year on year or it is influenced by very high/low PAT growth in any particular year
Higher the PAT growth rate the better.
</t>
        </r>
      </text>
    </comment>
    <comment ref="A6" authorId="0" shapeId="0" xr:uid="{00000000-0006-0000-0100-000008000000}">
      <text>
        <r>
          <rPr>
            <sz val="9"/>
            <color indexed="81"/>
            <rFont val="Tahoma"/>
            <family val="2"/>
          </rPr>
          <t>Represents the non operating income for the financial year
Compare other income with the (cash + Investments) held by the company. If the non operating income is not equal to at least the bank FD return on the cash + investments, then the investor should analyse it deeper to see where the cash has been invested by the company, which is not yielding at least bank FD return.</t>
        </r>
      </text>
    </comment>
    <comment ref="N6" authorId="0" shapeId="0" xr:uid="{00000000-0006-0000-0100-000009000000}">
      <text>
        <r>
          <rPr>
            <sz val="9"/>
            <color indexed="81"/>
            <rFont val="Tahoma"/>
            <family val="2"/>
          </rPr>
          <t xml:space="preserve">Represents the trend of growth in book value per share for last 10 years, last 7 years, last 5 years and last 3 years
Conditional formatting: If the Growth rate is negative, then the cell will be highlighted </t>
        </r>
        <r>
          <rPr>
            <b/>
            <sz val="9"/>
            <color indexed="81"/>
            <rFont val="Tahoma"/>
            <family val="2"/>
          </rPr>
          <t>"Red".</t>
        </r>
        <r>
          <rPr>
            <sz val="9"/>
            <color indexed="81"/>
            <rFont val="Tahoma"/>
            <family val="2"/>
          </rPr>
          <t xml:space="preserve">
Higher the increase in book value over the years, the better.</t>
        </r>
      </text>
    </comment>
    <comment ref="A8" authorId="0" shapeId="0" xr:uid="{00000000-0006-0000-0100-00000A000000}">
      <text>
        <r>
          <rPr>
            <sz val="9"/>
            <color indexed="81"/>
            <rFont val="Tahoma"/>
            <family val="2"/>
          </rPr>
          <t>Represents the interest amount expensed by the company in a financial year
Do not get influenced by a low interest expense. Always try to find out whether company has been capitalizing the interest cost. Simple method is to multiply total debt with an assumed interest rate and then find out the total interest outgo as has been explained in the calculation of interest coverage below.</t>
        </r>
      </text>
    </comment>
    <comment ref="O8" authorId="0" shapeId="0" xr:uid="{00000000-0006-0000-0100-00000B000000}">
      <text>
        <r>
          <rPr>
            <sz val="9"/>
            <color indexed="81"/>
            <rFont val="Tahoma"/>
            <family val="2"/>
          </rPr>
          <t>=Cost of funds*(average of total debt at the start and end of the financial year)
The interest outgo, calculated on total debt, takes care of the interest that has been capitalized by the company and therefore, has not been shown as interest expense in the P&amp;L statement.
Lower the interest outgo the better</t>
        </r>
      </text>
    </comment>
    <comment ref="N9" authorId="0" shapeId="0" xr:uid="{00000000-0006-0000-0100-00000C000000}">
      <text>
        <r>
          <rPr>
            <sz val="9"/>
            <color indexed="81"/>
            <rFont val="Tahoma"/>
            <family val="2"/>
          </rPr>
          <t>Shows the value of PE ratio 10 years back, 7 years back. 3 years back and the PE ratio based on trailing twelve months (TTM) earnings.</t>
        </r>
      </text>
    </comment>
    <comment ref="A10" authorId="0" shapeId="0" xr:uid="{00000000-0006-0000-0100-00000D000000}">
      <text>
        <r>
          <rPr>
            <sz val="9"/>
            <color indexed="81"/>
            <rFont val="Tahoma"/>
            <family val="2"/>
          </rPr>
          <t>Represents the profit before tax (PBT) for the financial year</t>
        </r>
      </text>
    </comment>
    <comment ref="N10" authorId="0" shapeId="0" xr:uid="{00000000-0006-0000-0100-00000E000000}">
      <text>
        <r>
          <rPr>
            <sz val="9"/>
            <color indexed="81"/>
            <rFont val="Tahoma"/>
            <family val="2"/>
          </rPr>
          <t>Represents the closing market price of the stock of the company for previous trading day
Ignore the absolute level of current market price. It does not matter whether the current price is INR 10 or INR 10,000/-.
Always focus on other parameters of the company assessment</t>
        </r>
      </text>
    </comment>
    <comment ref="A12" authorId="0" shapeId="0" xr:uid="{00000000-0006-0000-0100-00000F000000}">
      <text>
        <r>
          <rPr>
            <sz val="9"/>
            <color indexed="81"/>
            <rFont val="Tahoma"/>
            <family val="2"/>
          </rPr>
          <t xml:space="preserve">=Tax/Sales. Represents the tax payout of the company for the financial year. 
The conditional formatting highlights the years where Tax % is &gt;29.5% as </t>
        </r>
        <r>
          <rPr>
            <b/>
            <sz val="9"/>
            <color indexed="81"/>
            <rFont val="Tahoma"/>
            <family val="2"/>
          </rPr>
          <t>"Green"</t>
        </r>
        <r>
          <rPr>
            <sz val="9"/>
            <color indexed="81"/>
            <rFont val="Tahoma"/>
            <family val="2"/>
          </rPr>
          <t xml:space="preserve"> and years where Tax % is &lt;29.5% as </t>
        </r>
        <r>
          <rPr>
            <b/>
            <sz val="9"/>
            <color indexed="81"/>
            <rFont val="Tahoma"/>
            <family val="2"/>
          </rPr>
          <t>"Red"</t>
        </r>
        <r>
          <rPr>
            <sz val="9"/>
            <color indexed="81"/>
            <rFont val="Tahoma"/>
            <family val="2"/>
          </rPr>
          <t xml:space="preserve">
Tax payout ratio should be near the standard corporate tax rate in India i.e. about 30-33%. If the tax payout ratio is low, then invetsor should try to find out if the company has any tax incentives like a unit operating out of special economic zone (SEZ) etc.
</t>
        </r>
      </text>
    </comment>
    <comment ref="N12" authorId="0" shapeId="0" xr:uid="{00000000-0006-0000-0100-000010000000}">
      <text>
        <r>
          <rPr>
            <sz val="9"/>
            <color indexed="81"/>
            <rFont val="Tahoma"/>
            <family val="2"/>
          </rPr>
          <t>Represents the latest price to earnings (P/E)  ratio based on the current market price and the earnings per share (EPS) for last 4 quarters/trailing twelve months (TTM). If the data of any of the last 4 quarters is absent, then the cell would show P/E ratio based on last financial year earnings</t>
        </r>
        <r>
          <rPr>
            <sz val="9"/>
            <color indexed="81"/>
            <rFont val="Tahoma"/>
            <family val="2"/>
          </rPr>
          <t xml:space="preserve">
Lower the P/E ratio, the better.</t>
        </r>
      </text>
    </comment>
    <comment ref="A13" authorId="0" shapeId="0" xr:uid="{00000000-0006-0000-0100-000011000000}">
      <text>
        <r>
          <rPr>
            <sz val="9"/>
            <color indexed="81"/>
            <rFont val="Tahoma"/>
            <family val="2"/>
          </rPr>
          <t xml:space="preserve">Represents the net profit reported by the company for the financial year
Higher the PAT growth rate the better.
Conditional formatting: If the PAT has increased from previous year, then the cell will be highlighted </t>
        </r>
        <r>
          <rPr>
            <b/>
            <sz val="9"/>
            <color indexed="81"/>
            <rFont val="Tahoma"/>
            <family val="2"/>
          </rPr>
          <t>"Green".</t>
        </r>
        <r>
          <rPr>
            <sz val="9"/>
            <color indexed="81"/>
            <rFont val="Tahoma"/>
            <family val="2"/>
          </rPr>
          <t xml:space="preserve"> On the contrary, if the PAT has decreased over previous year, then the cell will be highlighted </t>
        </r>
        <r>
          <rPr>
            <b/>
            <sz val="9"/>
            <color indexed="81"/>
            <rFont val="Tahoma"/>
            <family val="2"/>
          </rPr>
          <t>"Red".</t>
        </r>
      </text>
    </comment>
    <comment ref="N13" authorId="0" shapeId="0" xr:uid="{00000000-0006-0000-0100-000012000000}">
      <text>
        <r>
          <rPr>
            <sz val="9"/>
            <color indexed="81"/>
            <rFont val="Tahoma"/>
            <family val="2"/>
          </rPr>
          <t>Represents the latest price to book value (P/B) ratio based on the current market price and the book value at the end of recent most financial year
Lower the P/B ratio, the better.</t>
        </r>
      </text>
    </comment>
    <comment ref="A14" authorId="0" shapeId="0" xr:uid="{00000000-0006-0000-0100-000013000000}">
      <text>
        <r>
          <rPr>
            <sz val="9"/>
            <color indexed="81"/>
            <rFont val="Tahoma"/>
            <family val="2"/>
          </rPr>
          <t xml:space="preserve">=PAT/Sales. 
The conditional formatting highlights the years where NPM increased from previous year as </t>
        </r>
        <r>
          <rPr>
            <b/>
            <sz val="9"/>
            <color indexed="81"/>
            <rFont val="Tahoma"/>
            <family val="2"/>
          </rPr>
          <t>"Green"</t>
        </r>
        <r>
          <rPr>
            <sz val="9"/>
            <color indexed="81"/>
            <rFont val="Tahoma"/>
            <family val="2"/>
          </rPr>
          <t xml:space="preserve"> and years where NPM decreased from previous year as </t>
        </r>
        <r>
          <rPr>
            <b/>
            <sz val="9"/>
            <color indexed="81"/>
            <rFont val="Tahoma"/>
            <family val="2"/>
          </rPr>
          <t>"Red"</t>
        </r>
        <r>
          <rPr>
            <sz val="9"/>
            <color indexed="81"/>
            <rFont val="Tahoma"/>
            <family val="2"/>
          </rPr>
          <t xml:space="preserve">
Higher the NPM the better. 
Be wary of companies, which show high sales growth with declining/not improving NPM. Companies, which chase growth at the cost of profitability usually do not create sustainable wealth for shareholders</t>
        </r>
      </text>
    </comment>
    <comment ref="N14" authorId="0" shapeId="0" xr:uid="{00000000-0006-0000-0100-000014000000}">
      <text>
        <r>
          <rPr>
            <sz val="9"/>
            <color indexed="81"/>
            <rFont val="Tahoma"/>
            <family val="2"/>
          </rPr>
          <t xml:space="preserve">=latest P/E ratio * latest P/B ratio
The conditional formatting highlights the  cell as </t>
        </r>
        <r>
          <rPr>
            <b/>
            <sz val="9"/>
            <color indexed="81"/>
            <rFont val="Tahoma"/>
            <family val="2"/>
          </rPr>
          <t>"Red"</t>
        </r>
        <r>
          <rPr>
            <sz val="9"/>
            <color indexed="81"/>
            <rFont val="Tahoma"/>
            <family val="2"/>
          </rPr>
          <t xml:space="preserve"> whenever the P/E*P/B ratio exceeds 22.5, which is the maximum buy value guided by Benjamin Graham in his book "The Intelligent Investor"
Lower the P/E* P/B multiplication number, the better.</t>
        </r>
      </text>
    </comment>
    <comment ref="A15" authorId="0" shapeId="0" xr:uid="{00000000-0006-0000-0100-000015000000}">
      <text>
        <r>
          <rPr>
            <sz val="9"/>
            <color indexed="81"/>
            <rFont val="Tahoma"/>
            <family val="2"/>
          </rPr>
          <t xml:space="preserve">Represents the CFO for the financial year as reported by the company in its cash flow statements. 
The conditional formatting highlights the years where CFO is greater than PAT as </t>
        </r>
        <r>
          <rPr>
            <b/>
            <sz val="9"/>
            <color indexed="81"/>
            <rFont val="Tahoma"/>
            <family val="2"/>
          </rPr>
          <t>"Green"</t>
        </r>
        <r>
          <rPr>
            <sz val="9"/>
            <color indexed="81"/>
            <rFont val="Tahoma"/>
            <family val="2"/>
          </rPr>
          <t xml:space="preserve"> and years where CFO is less than PAT as </t>
        </r>
        <r>
          <rPr>
            <b/>
            <sz val="9"/>
            <color indexed="81"/>
            <rFont val="Tahoma"/>
            <family val="2"/>
          </rPr>
          <t>"Red"</t>
        </r>
        <r>
          <rPr>
            <sz val="9"/>
            <color indexed="81"/>
            <rFont val="Tahoma"/>
            <family val="2"/>
          </rPr>
          <t xml:space="preserve">
Higher the CFO the better. Always compare CFO with PAT to see if the funds are getting stuck or released from working capital</t>
        </r>
      </text>
    </comment>
    <comment ref="N15" authorId="0" shapeId="0" xr:uid="{00000000-0006-0000-0100-000016000000}">
      <text>
        <r>
          <rPr>
            <sz val="9"/>
            <color indexed="81"/>
            <rFont val="Tahoma"/>
            <family val="2"/>
          </rPr>
          <t>=Dividend paid in last financial year/latest market capitalization
The conditional formatting highlights the cell as "Green" whenever the dividend yield is greater than 4%
If the company generates positive FCF, then Higher the dividend yield, the better
If FCF is negative, then the dividend is funded by debt and the investor should not take any comfort of such dividend yield.</t>
        </r>
      </text>
    </comment>
    <comment ref="A16" authorId="0" shapeId="0" xr:uid="{00000000-0006-0000-0100-000017000000}">
      <text>
        <r>
          <rPr>
            <sz val="9"/>
            <color indexed="81"/>
            <rFont val="Tahoma"/>
            <family val="2"/>
          </rPr>
          <t xml:space="preserve">Represents the capital expenditure done by the company in a financial year. Capex = Depreciation + Increase in (NFA+CWIP) over the year.
The conditional formatting highlights the years where Capex is less than CFO as </t>
        </r>
        <r>
          <rPr>
            <b/>
            <sz val="9"/>
            <color indexed="81"/>
            <rFont val="Tahoma"/>
            <family val="2"/>
          </rPr>
          <t>"Green"</t>
        </r>
        <r>
          <rPr>
            <sz val="9"/>
            <color indexed="81"/>
            <rFont val="Tahoma"/>
            <family val="2"/>
          </rPr>
          <t xml:space="preserve"> and years where Capex is higher than CFO  as </t>
        </r>
        <r>
          <rPr>
            <b/>
            <sz val="9"/>
            <color indexed="81"/>
            <rFont val="Tahoma"/>
            <family val="2"/>
          </rPr>
          <t>"Red"</t>
        </r>
        <r>
          <rPr>
            <sz val="9"/>
            <color indexed="81"/>
            <rFont val="Tahoma"/>
            <family val="2"/>
          </rPr>
          <t xml:space="preserve">
It is an important parameter which represents the money spent by the company in its operations/plants which is not reflected in the P&amp;L statement. 
An investor should always compare Capex with CFO to see whether the company is able to fund its capital expansion through its operating cash flow
Companies that show high sales growth without much capex have the potential of turning out to be good investments.</t>
        </r>
      </text>
    </comment>
    <comment ref="N16" authorId="0" shapeId="0" xr:uid="{00000000-0006-0000-0100-000018000000}">
      <text>
        <r>
          <rPr>
            <sz val="9"/>
            <color indexed="81"/>
            <rFont val="Tahoma"/>
            <family val="2"/>
          </rPr>
          <t>Represents latest market capitalization of the company based on the closing price of the previous trading day</t>
        </r>
      </text>
    </comment>
    <comment ref="A17" authorId="0" shapeId="0" xr:uid="{00000000-0006-0000-0100-000019000000}">
      <text>
        <r>
          <rPr>
            <sz val="9"/>
            <color indexed="81"/>
            <rFont val="Tahoma"/>
            <family val="2"/>
          </rPr>
          <t xml:space="preserve">FCF=CFO - Capex. 
Free cash flow is the most important parameter of the company analysis. It is like the discretionary surplus that the company makes, which can be distributed to reward the shareholders.
I believe that if a company is not able to generate FCF, then it should be avoided by investors, however good its sales growth and profitability margins be.
</t>
        </r>
      </text>
    </comment>
    <comment ref="O17" authorId="0" shapeId="0" xr:uid="{00000000-0006-0000-0100-00001A000000}">
      <text>
        <r>
          <rPr>
            <sz val="9"/>
            <color indexed="81"/>
            <rFont val="Tahoma"/>
            <family val="2"/>
          </rPr>
          <t>represents the sum of earnings retained and not distributed by the company over last 10 years
Cumulative retained earnings should be compared with cumulative increase in market capitalization over the years.</t>
        </r>
      </text>
    </comment>
    <comment ref="A18" authorId="0" shapeId="0" xr:uid="{00000000-0006-0000-0100-00001B000000}">
      <text>
        <r>
          <rPr>
            <sz val="9"/>
            <color indexed="81"/>
            <rFont val="Tahoma"/>
            <family val="2"/>
          </rPr>
          <t xml:space="preserve">Represents the total debt of the company at the financial year ending date. 
The conditional formatting highlights the years where total debt decreased from previous year as </t>
        </r>
        <r>
          <rPr>
            <b/>
            <sz val="9"/>
            <color indexed="81"/>
            <rFont val="Tahoma"/>
            <family val="2"/>
          </rPr>
          <t>"Green"</t>
        </r>
        <r>
          <rPr>
            <sz val="9"/>
            <color indexed="81"/>
            <rFont val="Tahoma"/>
            <family val="2"/>
          </rPr>
          <t xml:space="preserve"> and years where total debt increased from previous year as </t>
        </r>
        <r>
          <rPr>
            <b/>
            <sz val="9"/>
            <color indexed="81"/>
            <rFont val="Tahoma"/>
            <family val="2"/>
          </rPr>
          <t>"Red"</t>
        </r>
        <r>
          <rPr>
            <sz val="9"/>
            <color indexed="81"/>
            <rFont val="Tahoma"/>
            <family val="2"/>
          </rPr>
          <t xml:space="preserve">
Lower the debt, the better. 
Debt represents the excess funds used by the company than what it is generating from its operations. It is like living beyond your means.</t>
        </r>
      </text>
    </comment>
    <comment ref="L18" authorId="0" shapeId="0" xr:uid="{00000000-0006-0000-0100-00001C000000}">
      <text>
        <r>
          <rPr>
            <sz val="9"/>
            <color indexed="81"/>
            <rFont val="Tahoma"/>
            <family val="2"/>
          </rPr>
          <t xml:space="preserve">FCFE.1 = FCF-Interest Expense from P&amp;L
The formula assumes the deduction of all interest payments for the company as the capitalized interest is deducted as a part of Capex and the non-capitalized interest is deducted as interest expense from P&amp;L
Higher the FCFE.1, the better.
The interpretation is same as FCF (Free Cash Flow) shared above in terms of availability of surplus cash with the company after meeting capital expenditure.
FCFE.1 is more stringent than FCF as in addition to deducting Capex, it also deducts interest payment from CFO
</t>
        </r>
      </text>
    </comment>
    <comment ref="O18" authorId="0" shapeId="0" xr:uid="{00000000-0006-0000-0100-00001D000000}">
      <text>
        <r>
          <rPr>
            <sz val="9"/>
            <color indexed="81"/>
            <rFont val="Tahoma"/>
            <family val="2"/>
          </rPr>
          <t xml:space="preserve">Represents the increase in market capitalization of the company since 10 years ago.
Please note that the increase in market capitalization has been taken upto the current date from the market capitalization of 10 years before as I believe that the current market capitalization rather than the market capitalization at the end of recent most financial year to be better representative of upto date wealth generation data.
Cumulative retained earnings should be compared with cumulative increase in market capitalization over the years.
Conditional formatting: If the increase in market capitalization over 10 years is higher than the retained earnings, then the cell will be highlighted </t>
        </r>
        <r>
          <rPr>
            <b/>
            <sz val="9"/>
            <color indexed="81"/>
            <rFont val="Tahoma"/>
            <family val="2"/>
          </rPr>
          <t>"Green".</t>
        </r>
        <r>
          <rPr>
            <sz val="9"/>
            <color indexed="81"/>
            <rFont val="Tahoma"/>
            <family val="2"/>
          </rPr>
          <t xml:space="preserve"> On the contrary, if the increase in market capitalization over 10 years is lower than the retained earnings, then the cell will be highlighted </t>
        </r>
        <r>
          <rPr>
            <b/>
            <sz val="9"/>
            <color indexed="81"/>
            <rFont val="Tahoma"/>
            <family val="2"/>
          </rPr>
          <t>"Red".</t>
        </r>
      </text>
    </comment>
    <comment ref="A19" authorId="0" shapeId="0" xr:uid="{00000000-0006-0000-0100-00001E000000}">
      <text>
        <r>
          <rPr>
            <sz val="9"/>
            <color indexed="81"/>
            <rFont val="Tahoma"/>
            <family val="2"/>
          </rPr>
          <t xml:space="preserve">Represents the issued and paid up share capital of the company at the end of financial year. Capital increases due to either by raising further equity by the company or by issuance of bonus shares. Capital is decreased in cases of share buyback by the company.
The conditional formatting highlights the years where Share Capital decreased from previous year as </t>
        </r>
        <r>
          <rPr>
            <b/>
            <sz val="9"/>
            <color indexed="81"/>
            <rFont val="Tahoma"/>
            <family val="2"/>
          </rPr>
          <t>"Green"</t>
        </r>
        <r>
          <rPr>
            <sz val="9"/>
            <color indexed="81"/>
            <rFont val="Tahoma"/>
            <family val="2"/>
          </rPr>
          <t xml:space="preserve"> and years where Share Capital increased from previous year as </t>
        </r>
        <r>
          <rPr>
            <b/>
            <sz val="9"/>
            <color indexed="81"/>
            <rFont val="Tahoma"/>
            <family val="2"/>
          </rPr>
          <t>"Red"</t>
        </r>
        <r>
          <rPr>
            <sz val="9"/>
            <color indexed="81"/>
            <rFont val="Tahoma"/>
            <family val="2"/>
          </rPr>
          <t xml:space="preserve">
Ideally, share capital should be constant or decrease due to buy back.
Increase in share capital over the years, which is not due to bonus shares, represents dilution of stake of existing shareholders.</t>
        </r>
      </text>
    </comment>
    <comment ref="L19" authorId="0" shapeId="0" xr:uid="{00000000-0006-0000-0100-00001F000000}">
      <text>
        <r>
          <rPr>
            <sz val="9"/>
            <color indexed="81"/>
            <rFont val="Tahoma"/>
            <family val="2"/>
          </rPr>
          <t>FCFE.2 = FCFE.1 + Other Income
i.e. FCFE.2 = FCF - Interest Exp. from P&amp;L + Other Income
It represents the surplus money generated by the company from its business activities including operating activities as well as non-operating activities after deducting capital expenditure and interest payments.</t>
        </r>
      </text>
    </comment>
    <comment ref="O19" authorId="0" shapeId="0" xr:uid="{00000000-0006-0000-0100-000020000000}">
      <text>
        <r>
          <rPr>
            <sz val="9"/>
            <color indexed="81"/>
            <rFont val="Tahoma"/>
            <family val="2"/>
          </rPr>
          <t>=Increase in market capitalization since 10 years ago/total retained earnings of last 10 years
It is expected that the company should atleast create a wealth of INR 1 in market capitalization for its shareholders for every INR 1 of earnings retained by it."
At least INR 1 of incease in market capitalization should have happened for every INR 1 retained by the company. Otherwise, it is a wealth destroying company for shareholders
The higher the value created, the better.</t>
        </r>
      </text>
    </comment>
    <comment ref="A20" authorId="0" shapeId="0" xr:uid="{00000000-0006-0000-0100-000021000000}">
      <text>
        <r>
          <rPr>
            <sz val="9"/>
            <color indexed="81"/>
            <rFont val="Tahoma"/>
            <family val="2"/>
          </rPr>
          <t xml:space="preserve">Represents the dividend paid by the company in a financial year. The dividend shown here does not include the dividend distribution tax (DDT).
The conditional formatting highlights the years where Dividend increased from previous year as </t>
        </r>
        <r>
          <rPr>
            <b/>
            <sz val="9"/>
            <color indexed="81"/>
            <rFont val="Tahoma"/>
            <family val="2"/>
          </rPr>
          <t>"Green"</t>
        </r>
        <r>
          <rPr>
            <sz val="9"/>
            <color indexed="81"/>
            <rFont val="Tahoma"/>
            <family val="2"/>
          </rPr>
          <t xml:space="preserve"> and years where Dividend decreased from previous year as </t>
        </r>
        <r>
          <rPr>
            <b/>
            <sz val="9"/>
            <color indexed="81"/>
            <rFont val="Tahoma"/>
            <family val="2"/>
          </rPr>
          <t>"Red"</t>
        </r>
        <r>
          <rPr>
            <sz val="9"/>
            <color indexed="81"/>
            <rFont val="Tahoma"/>
            <family val="2"/>
          </rPr>
          <t xml:space="preserve">
A company, which generates FCF should pay dividends to shareholders to share the fruits of growth with the shareholders.</t>
        </r>
      </text>
    </comment>
    <comment ref="L20" authorId="0" shapeId="0" xr:uid="{00000000-0006-0000-0100-000022000000}">
      <text>
        <r>
          <rPr>
            <sz val="9"/>
            <color indexed="81"/>
            <rFont val="Tahoma"/>
            <family val="2"/>
          </rPr>
          <t xml:space="preserve">Represents total dividend paid by the company over last 10 years excluding dividend distribution tax.
Conditional formatting: If the amount of dividend paid in last 10 years is more than FCFE.2, then the cell will be highlighted </t>
        </r>
        <r>
          <rPr>
            <b/>
            <sz val="9"/>
            <color indexed="81"/>
            <rFont val="Tahoma"/>
            <family val="2"/>
          </rPr>
          <t>"Red".</t>
        </r>
        <r>
          <rPr>
            <sz val="9"/>
            <color indexed="81"/>
            <rFont val="Tahoma"/>
            <family val="2"/>
          </rPr>
          <t xml:space="preserve"> This is to indicate that the company has paid dividend in excess of the funds generated by its business activities.
</t>
        </r>
      </text>
    </comment>
    <comment ref="O20" authorId="0" shapeId="0" xr:uid="{00000000-0006-0000-0100-000023000000}">
      <text>
        <r>
          <rPr>
            <sz val="9"/>
            <color indexed="81"/>
            <rFont val="Tahoma"/>
            <family val="2"/>
          </rPr>
          <t xml:space="preserve">Represents the CAGR of market capitalization from the first reported financial year "Cell:B2" to today. (Labels it as 10 years CAGR)
Conditional formatting: If the CAGR is positive, then the cell will be highlighted </t>
        </r>
        <r>
          <rPr>
            <b/>
            <sz val="9"/>
            <color indexed="81"/>
            <rFont val="Tahoma"/>
            <family val="2"/>
          </rPr>
          <t>"Green".</t>
        </r>
        <r>
          <rPr>
            <sz val="9"/>
            <color indexed="81"/>
            <rFont val="Tahoma"/>
            <family val="2"/>
          </rPr>
          <t xml:space="preserve"> On the contrary, if the CAGR is 0 or negative, then the cell will be highlighted </t>
        </r>
        <r>
          <rPr>
            <b/>
            <sz val="9"/>
            <color indexed="81"/>
            <rFont val="Tahoma"/>
            <family val="2"/>
          </rPr>
          <t>"Red".</t>
        </r>
      </text>
    </comment>
    <comment ref="A21" authorId="0" shapeId="0" xr:uid="{00000000-0006-0000-0100-000024000000}">
      <text>
        <r>
          <rPr>
            <sz val="9"/>
            <color indexed="81"/>
            <rFont val="Tahoma"/>
            <family val="2"/>
          </rPr>
          <t>= FCF+OI+Debt-Int-DiV which factors in the Free Cash Flow, then adds other income, then adds incremental debt, and then deducts interest expense (P&amp;L) and dividends.
Investors should compare it with the cash &amp; investments (current + non-current) and estimate how much cash &amp; investments has changed since last year and whether it is in line with the Net Cash Generation calculated earlier. Any wide variation here indicates a need for deeper analysis of the financial data while reading the annual report.
Some of the common causes of a higher increase in cash &amp; investments than Net Cash Generation are:
1) Equity dilution whether by IPO, FPO, QIP, Warrants etc.
2) Increase in the value of market-linked investments like shares, mutual funds etc.
Some of the common causes of a lower increase in cash &amp; investments than Net Cash Generation are:
1) Equity reduction like buy-back of shares
2) Giving loans &amp; advances like capital advances, inter-corporate deposits, tax payments and prepaid expenses etc, which are cash outflow but do not reflect as investments.
3) A decline in the value of market-linked investments like shares, mutual funds etc.</t>
        </r>
      </text>
    </comment>
    <comment ref="L21" authorId="0" shapeId="0" xr:uid="{00000000-0006-0000-0100-000025000000}">
      <text>
        <r>
          <rPr>
            <sz val="9"/>
            <color indexed="81"/>
            <rFont val="Tahoma"/>
            <family val="2"/>
          </rPr>
          <t xml:space="preserve">If the total debt has decreased over last 10 years, then this cell will be highlighted as </t>
        </r>
        <r>
          <rPr>
            <b/>
            <sz val="9"/>
            <color indexed="81"/>
            <rFont val="Tahoma"/>
            <family val="2"/>
          </rPr>
          <t>"Green".</t>
        </r>
        <r>
          <rPr>
            <sz val="9"/>
            <color indexed="81"/>
            <rFont val="Tahoma"/>
            <family val="2"/>
          </rPr>
          <t xml:space="preserve"> If the total debt has increased in last 10 years, then the cell will be highlighted </t>
        </r>
        <r>
          <rPr>
            <b/>
            <sz val="9"/>
            <color indexed="81"/>
            <rFont val="Tahoma"/>
            <family val="2"/>
          </rPr>
          <t>"Red"</t>
        </r>
        <r>
          <rPr>
            <sz val="9"/>
            <color indexed="81"/>
            <rFont val="Tahoma"/>
            <family val="2"/>
          </rPr>
          <t xml:space="preserve">
A decline in debt over the years is better
Companies with good cash generation over the years will witness their total debt decline over the years whereas the companies, which rely on debt to fund their growth, will witness the total debt increase over the years
</t>
        </r>
      </text>
    </comment>
    <comment ref="A22" authorId="0" shapeId="0" xr:uid="{00000000-0006-0000-0100-000026000000}">
      <text>
        <r>
          <rPr>
            <sz val="9"/>
            <color indexed="81"/>
            <rFont val="Tahoma"/>
            <family val="2"/>
          </rPr>
          <t>=Cash &amp; equivalent + Current Investments + Non Current Investments held by the company at the end of the financial year
Very high cash levels in companies, which do not pay out dividends should be looked with caution. It might be that the cash shown on the balance sheet is fictitious.</t>
        </r>
      </text>
    </comment>
    <comment ref="K22" authorId="0" shapeId="0" xr:uid="{00000000-0006-0000-0100-000027000000}">
      <text>
        <r>
          <rPr>
            <sz val="9"/>
            <color indexed="81"/>
            <rFont val="Tahoma"/>
            <family val="2"/>
          </rPr>
          <t xml:space="preserve">Represents the cash + investments as per the latest available annual report.
Conditional Formatting: The cell will be highlighted </t>
        </r>
        <r>
          <rPr>
            <b/>
            <sz val="9"/>
            <color indexed="81"/>
            <rFont val="Tahoma"/>
            <family val="2"/>
          </rPr>
          <t>"Green"</t>
        </r>
        <r>
          <rPr>
            <sz val="9"/>
            <color indexed="81"/>
            <rFont val="Tahoma"/>
            <family val="2"/>
          </rPr>
          <t xml:space="preserve"> if the value of cash + investments is higher than the current market capitalization of the company.</t>
        </r>
      </text>
    </comment>
    <comment ref="L22" authorId="0" shapeId="0" xr:uid="{00000000-0006-0000-0100-000028000000}">
      <text>
        <r>
          <rPr>
            <sz val="9"/>
            <color indexed="81"/>
            <rFont val="Tahoma"/>
            <family val="2"/>
          </rPr>
          <t>Represents the total surplus funds remaining with the company from its operating + non-operating activities after payment of capital expenditure, interest, dividends as well as debt repayments or inflow from incremental debt.
Investors may compare the "Surplus Funds" with the increase in cash + investments over 10Yrs.</t>
        </r>
      </text>
    </comment>
    <comment ref="O22" authorId="0" shapeId="0" xr:uid="{00000000-0006-0000-0100-000029000000}">
      <text>
        <r>
          <rPr>
            <sz val="9"/>
            <color indexed="81"/>
            <rFont val="Tahoma"/>
            <family val="2"/>
          </rPr>
          <t xml:space="preserve">It is a manual entry field, which is provided for the investor to punch in the split/bonus adjusted share price of the company for the March 31 of the year 10 years back on her own so that she can get the accurate increase in market capitalization since 10 years ago.
Please note that the default value is "0" and the formula for calculating increase in market capitalization has been drafted in a manner that if "0" is put in this cell, then the increase in market capitalization is shown as per the data provided by screener. However, if the investor puts in her value in this cell, then the sheet will show the increase in market capitalization as per her share price value.
</t>
        </r>
      </text>
    </comment>
    <comment ref="A24" authorId="0" shapeId="0" xr:uid="{00000000-0006-0000-0100-00002A000000}">
      <text>
        <r>
          <rPr>
            <sz val="9"/>
            <color indexed="81"/>
            <rFont val="Tahoma"/>
            <family val="2"/>
          </rPr>
          <t>Represents the debt-free self sustainable growth rate potential of a company.
It has been observed that companies growing at a higher rate than SSGR are using more resources than their inherent operations can produce and therefore, witness increasing debt levels. Similarly, the companies that are growing at a rate less than or equal to SSGR are able to sustain their growth rates without raising debt/see declining debt levels.
It is to be kept in mind that SSGR does not take into account the funds getting blocked or released from working capital
SSGR higher than the sales growth rate is desirable.</t>
        </r>
      </text>
    </comment>
    <comment ref="L24" authorId="0" shapeId="0" xr:uid="{00000000-0006-0000-0100-00002B000000}">
      <text>
        <r>
          <rPr>
            <sz val="9"/>
            <color indexed="81"/>
            <rFont val="Tahoma"/>
            <family val="2"/>
          </rPr>
          <t xml:space="preserve">Represents the proportion of CFO, which has become available as free cash flow (FCF) to the shareholders in last 10 years.
Conditional formatting: If the FCF/CFO is more than 25%, then the cell will be highlighted </t>
        </r>
        <r>
          <rPr>
            <b/>
            <sz val="9"/>
            <color indexed="81"/>
            <rFont val="Tahoma"/>
            <family val="2"/>
          </rPr>
          <t>"Green".</t>
        </r>
        <r>
          <rPr>
            <sz val="9"/>
            <color indexed="81"/>
            <rFont val="Tahoma"/>
            <family val="2"/>
          </rPr>
          <t xml:space="preserve"> On the contrary, if the FCF/CFO is less than 25%, then the cell will be highlighted </t>
        </r>
        <r>
          <rPr>
            <b/>
            <sz val="9"/>
            <color indexed="81"/>
            <rFont val="Tahoma"/>
            <family val="2"/>
          </rPr>
          <t>"Red".</t>
        </r>
        <r>
          <rPr>
            <sz val="9"/>
            <color indexed="81"/>
            <rFont val="Tahoma"/>
            <family val="2"/>
          </rPr>
          <t xml:space="preserve">
Higher proportion of CFO becoming available as FCF indicates low capex requirements, which is a feature to identify cash cows.
Higher the proportion of Free Cash Flow out of Cash Flow from Operations, the better.</t>
        </r>
      </text>
    </comment>
    <comment ref="A26" authorId="0" shapeId="0" xr:uid="{00000000-0006-0000-0100-00002C000000}">
      <text>
        <r>
          <rPr>
            <sz val="9"/>
            <color indexed="81"/>
            <rFont val="Tahoma"/>
            <family val="2"/>
          </rPr>
          <t>Lower the trade receivables, the better it is for the company</t>
        </r>
      </text>
    </comment>
    <comment ref="L26" authorId="0" shapeId="0" xr:uid="{00000000-0006-0000-0100-00002D000000}">
      <text>
        <r>
          <rPr>
            <sz val="9"/>
            <color indexed="81"/>
            <rFont val="Tahoma"/>
            <family val="2"/>
          </rPr>
          <t xml:space="preserve">Shows the total money consumed in or released from trade receivables over last 10 years
</t>
        </r>
      </text>
    </comment>
    <comment ref="A27" authorId="0" shapeId="0" xr:uid="{00000000-0006-0000-0100-00002E000000}">
      <text>
        <r>
          <rPr>
            <sz val="9"/>
            <color indexed="81"/>
            <rFont val="Tahoma"/>
            <family val="2"/>
          </rPr>
          <t>Lower the inventory, the better it is for the company</t>
        </r>
      </text>
    </comment>
    <comment ref="L27" authorId="0" shapeId="0" xr:uid="{00000000-0006-0000-0100-00002F000000}">
      <text>
        <r>
          <rPr>
            <sz val="9"/>
            <color indexed="81"/>
            <rFont val="Tahoma"/>
            <family val="2"/>
          </rPr>
          <t>Shows the total money consumed in or released from inventory over last 10 years</t>
        </r>
      </text>
    </comment>
    <comment ref="A29" authorId="0" shapeId="0" xr:uid="{00000000-0006-0000-0100-000030000000}">
      <text>
        <r>
          <rPr>
            <sz val="9"/>
            <color indexed="81"/>
            <rFont val="Tahoma"/>
            <family val="2"/>
          </rPr>
          <t xml:space="preserve">=PBT/average of Net Fixed Assets at the start and the end of the financial year
The conditional formatting highlights the years where PBT/NFA is &gt; 25% as </t>
        </r>
        <r>
          <rPr>
            <b/>
            <sz val="9"/>
            <color indexed="81"/>
            <rFont val="Tahoma"/>
            <family val="2"/>
          </rPr>
          <t>"Green"</t>
        </r>
        <r>
          <rPr>
            <sz val="9"/>
            <color indexed="81"/>
            <rFont val="Tahoma"/>
            <family val="2"/>
          </rPr>
          <t xml:space="preserve"> and years where PBT/NFA is &lt;10% as </t>
        </r>
        <r>
          <rPr>
            <b/>
            <sz val="9"/>
            <color indexed="81"/>
            <rFont val="Tahoma"/>
            <family val="2"/>
          </rPr>
          <t>"Red"</t>
        </r>
        <r>
          <rPr>
            <sz val="9"/>
            <color indexed="81"/>
            <rFont val="Tahoma"/>
            <family val="2"/>
          </rPr>
          <t xml:space="preserve">
This is to highlight that if a company is not able to earn at least 10% or Bank FD rate from its fixed assets, then it should ideally sell all its assets and put the amount in a bank fixed deposit and earn higher return without taking the pains of running a business.
Higher the PBT/Avg. NFA, the better</t>
        </r>
      </text>
    </comment>
    <comment ref="A30" authorId="0" shapeId="0" xr:uid="{00000000-0006-0000-0100-000031000000}">
      <text>
        <r>
          <rPr>
            <sz val="9"/>
            <color indexed="81"/>
            <rFont val="Tahoma"/>
            <family val="2"/>
          </rPr>
          <t xml:space="preserve">=PAT/average of shareholder's equity at the start and the end of the financial year.
The conditional formatting highlights the years where ROE is &gt; 25% as </t>
        </r>
        <r>
          <rPr>
            <b/>
            <sz val="9"/>
            <color indexed="81"/>
            <rFont val="Tahoma"/>
            <family val="2"/>
          </rPr>
          <t>"Green"</t>
        </r>
        <r>
          <rPr>
            <sz val="9"/>
            <color indexed="81"/>
            <rFont val="Tahoma"/>
            <family val="2"/>
          </rPr>
          <t xml:space="preserve"> and years where ROE is &lt;7% as </t>
        </r>
        <r>
          <rPr>
            <b/>
            <sz val="9"/>
            <color indexed="81"/>
            <rFont val="Tahoma"/>
            <family val="2"/>
          </rPr>
          <t>"Red".</t>
        </r>
        <r>
          <rPr>
            <sz val="9"/>
            <color indexed="81"/>
            <rFont val="Tahoma"/>
            <family val="2"/>
          </rPr>
          <t xml:space="preserve">
This is to highlight that if a company is not able to earn at least 7% post tax from its equity or shareholders' funds, then it should ideally put its entire equity in a bank fixed deposit and earn higher return without taking the pains of running a business
Higher the ROE, the better. However, always be cautious with the companies with high ROE and high Debt/Equity. In such companies, high leverage is the reason for high ROE, which is not sustainable</t>
        </r>
      </text>
    </comment>
    <comment ref="A31" authorId="0" shapeId="0" xr:uid="{00000000-0006-0000-0100-000032000000}">
      <text>
        <r>
          <rPr>
            <sz val="9"/>
            <color indexed="81"/>
            <rFont val="Tahoma"/>
            <family val="2"/>
          </rPr>
          <t xml:space="preserve">=EBIT/average of total assets at the start and the end of the financial year. (EBIT = Earnings before Interest and Tax)
The conditional formatting highlights the years where ROCE is &gt; 35% as </t>
        </r>
        <r>
          <rPr>
            <b/>
            <sz val="9"/>
            <color indexed="81"/>
            <rFont val="Tahoma"/>
            <family val="2"/>
          </rPr>
          <t>"Green"</t>
        </r>
        <r>
          <rPr>
            <sz val="9"/>
            <color indexed="81"/>
            <rFont val="Tahoma"/>
            <family val="2"/>
          </rPr>
          <t xml:space="preserve"> and years where ROCE is &lt;10% as </t>
        </r>
        <r>
          <rPr>
            <b/>
            <sz val="9"/>
            <color indexed="81"/>
            <rFont val="Tahoma"/>
            <family val="2"/>
          </rPr>
          <t>"Red".</t>
        </r>
        <r>
          <rPr>
            <sz val="9"/>
            <color indexed="81"/>
            <rFont val="Tahoma"/>
            <family val="2"/>
          </rPr>
          <t xml:space="preserve">
This is to highlight that if a company is not able to earn at least 7% pre-tax ROCE from its assets, then it should ideally put its entire assets in a bank fixed deposit and earn higher return without taking the pains of running a business."
Higher the ROCE, the better</t>
        </r>
      </text>
    </comment>
    <comment ref="A32" authorId="0" shapeId="0" xr:uid="{00000000-0006-0000-0100-000033000000}">
      <text>
        <r>
          <rPr>
            <sz val="9"/>
            <color indexed="81"/>
            <rFont val="Tahoma"/>
            <family val="2"/>
          </rPr>
          <t xml:space="preserve">Represents the incremental returns/profits generated by the earnings retained by the company over any consecutive three years period. Represents the efficiency of utilization of incremental money being deployed by the company management in its operations.
The conditional formatting highlights the years where incremental ROE increased from the previous period as </t>
        </r>
        <r>
          <rPr>
            <b/>
            <sz val="9"/>
            <color indexed="81"/>
            <rFont val="Tahoma"/>
            <family val="2"/>
          </rPr>
          <t>"Green"</t>
        </r>
        <r>
          <rPr>
            <sz val="9"/>
            <color indexed="81"/>
            <rFont val="Tahoma"/>
            <family val="2"/>
          </rPr>
          <t xml:space="preserve"> and years where incremental ROE decreased from previous years as </t>
        </r>
        <r>
          <rPr>
            <b/>
            <sz val="9"/>
            <color indexed="81"/>
            <rFont val="Tahoma"/>
            <family val="2"/>
          </rPr>
          <t>"Red"</t>
        </r>
        <r>
          <rPr>
            <sz val="9"/>
            <color indexed="81"/>
            <rFont val="Tahoma"/>
            <family val="2"/>
          </rPr>
          <t xml:space="preserve">
Ideally, incremental ROE 3 years rolling should be stable or improving.</t>
        </r>
      </text>
    </comment>
    <comment ref="A34" authorId="0" shapeId="0" xr:uid="{00000000-0006-0000-0100-000034000000}">
      <text>
        <r>
          <rPr>
            <sz val="9"/>
            <color indexed="81"/>
            <rFont val="Tahoma"/>
            <family val="2"/>
          </rPr>
          <t xml:space="preserve">=Sales/average of net fixed assets at the start and end of a financial year.
The conditional formatting highlights the years where NFAT increased from previous year as </t>
        </r>
        <r>
          <rPr>
            <b/>
            <sz val="9"/>
            <color indexed="81"/>
            <rFont val="Tahoma"/>
            <family val="2"/>
          </rPr>
          <t>"Green"</t>
        </r>
        <r>
          <rPr>
            <sz val="9"/>
            <color indexed="81"/>
            <rFont val="Tahoma"/>
            <family val="2"/>
          </rPr>
          <t xml:space="preserve"> and years where NFAT decreased from previous year as </t>
        </r>
        <r>
          <rPr>
            <b/>
            <sz val="9"/>
            <color indexed="81"/>
            <rFont val="Tahoma"/>
            <family val="2"/>
          </rPr>
          <t>"Red"</t>
        </r>
        <r>
          <rPr>
            <sz val="9"/>
            <color indexed="81"/>
            <rFont val="Tahoma"/>
            <family val="2"/>
          </rPr>
          <t xml:space="preserve">
Higher the NFAT, the better.
High NFAT represents that the company is able to use its fixed assets in a very efficient manner (many a times, due to the nature of its business) and does not require to do a lot of capex
</t>
        </r>
      </text>
    </comment>
    <comment ref="A35" authorId="0" shapeId="0" xr:uid="{00000000-0006-0000-0100-000035000000}">
      <text>
        <r>
          <rPr>
            <sz val="9"/>
            <color indexed="81"/>
            <rFont val="Tahoma"/>
            <family val="2"/>
          </rPr>
          <t xml:space="preserve">=365/(Sales/average of account receivables at the start and end of the financial year)
The conditional formatting highlights the years where receivables days decreased from previous year as </t>
        </r>
        <r>
          <rPr>
            <b/>
            <sz val="9"/>
            <color indexed="81"/>
            <rFont val="Tahoma"/>
            <family val="2"/>
          </rPr>
          <t>"Green"</t>
        </r>
        <r>
          <rPr>
            <sz val="9"/>
            <color indexed="81"/>
            <rFont val="Tahoma"/>
            <family val="2"/>
          </rPr>
          <t xml:space="preserve"> and years where receivables days increased from previous year as </t>
        </r>
        <r>
          <rPr>
            <b/>
            <sz val="9"/>
            <color indexed="81"/>
            <rFont val="Tahoma"/>
            <family val="2"/>
          </rPr>
          <t>"Red"</t>
        </r>
        <r>
          <rPr>
            <sz val="9"/>
            <color indexed="81"/>
            <rFont val="Tahoma"/>
            <family val="2"/>
          </rPr>
          <t xml:space="preserve">
Lower the receivables days, the better. It means that the company is not giving higher credit period to customers to generate sales.
In case of fictitious sales where cash is not received from customers, the company will see increasing receivables days.</t>
        </r>
      </text>
    </comment>
    <comment ref="A36" authorId="0" shapeId="0" xr:uid="{00000000-0006-0000-0100-000036000000}">
      <text>
        <r>
          <rPr>
            <sz val="9"/>
            <color indexed="81"/>
            <rFont val="Tahoma"/>
            <family val="2"/>
          </rPr>
          <t>=Sales/average of inventory at the start and the end of the financial year
The conditional formatting highlights the years where inventory turnover increased from previous year as "Green" and years where inventory turnover decreased from previous year as "Red"
Higher the inventory turnover ratio, the better.
Lower inventory turnover means that the company is accumulating a lot of inventory, which might become obsolete later.
In extreme cases, the inventory being shown might be fictitious and may be an indicator of underlying fraud.</t>
        </r>
      </text>
    </comment>
    <comment ref="A37" authorId="0" shapeId="0" xr:uid="{00000000-0006-0000-0100-000037000000}">
      <text>
        <r>
          <rPr>
            <sz val="9"/>
            <color indexed="81"/>
            <rFont val="Tahoma"/>
            <family val="2"/>
          </rPr>
          <t xml:space="preserve">=  {365/(Raw Material Cost during the financial year/average of inventory at the start of the year and at the end of the year)}/30
It shows the number of months of raw material requirement held as inventory held by the company on an average through the year.
Lower the amount of inventory held, the better
Conditional formatting: if during the year, the number of months of raw material cost held by the company is higher than the previous year, then the cell will be highlighted </t>
        </r>
        <r>
          <rPr>
            <b/>
            <sz val="9"/>
            <color indexed="81"/>
            <rFont val="Tahoma"/>
            <family val="2"/>
          </rPr>
          <t>"Red".</t>
        </r>
        <r>
          <rPr>
            <sz val="9"/>
            <color indexed="81"/>
            <rFont val="Tahoma"/>
            <family val="2"/>
          </rPr>
          <t xml:space="preserve"> On the contrary, if during the year, the number of months of raw material cost held by the company is lower than the previous year, then the cell will be highlighted </t>
        </r>
        <r>
          <rPr>
            <b/>
            <sz val="9"/>
            <color indexed="81"/>
            <rFont val="Tahoma"/>
            <family val="2"/>
          </rPr>
          <t>"Green".</t>
        </r>
      </text>
    </comment>
    <comment ref="A38" authorId="0" shapeId="0" xr:uid="{00000000-0006-0000-0100-000038000000}">
      <text>
        <r>
          <rPr>
            <sz val="9"/>
            <color indexed="81"/>
            <rFont val="Tahoma"/>
            <family val="2"/>
          </rPr>
          <t>The formula calculates working capital days as a sum of receivables days and inventory days. It does not take into account payables days as otherwise, companies can easily mask poor working capital position by delaying the payment to suppliers/vendors.
The conditional formatting highlights the cells in which working capital days have decreased (i.e. improved) over previous year as "Green" and the cells in which the working capital days have increased (i.e. deteriorated) over previous year as "Red"
Lower the working capital days, the better for the company</t>
        </r>
      </text>
    </comment>
    <comment ref="A40" authorId="0" shapeId="0" xr:uid="{00000000-0006-0000-0100-000039000000}">
      <text>
        <r>
          <rPr>
            <sz val="9"/>
            <color indexed="81"/>
            <rFont val="Tahoma"/>
            <family val="2"/>
          </rPr>
          <t>Represents the net fixed assets of the company after factoring in the accumulated depreciation at the end of a financial year
Increase in NFA means that the company has done capacity addition, which should lead to higher sales/income in future.</t>
        </r>
      </text>
    </comment>
    <comment ref="A41" authorId="0" shapeId="0" xr:uid="{00000000-0006-0000-0100-00003A000000}">
      <text>
        <r>
          <rPr>
            <sz val="9"/>
            <color indexed="81"/>
            <rFont val="Tahoma"/>
            <family val="2"/>
          </rPr>
          <t>Represents the capital work in progress (CWIP) of the company at the end of a financial year. CWIP usually shows the projects under execution by the company. Once the projects get completed and become operational, they are shifted from CWIP to the fixed assets (NFA).
Increase in CWIP means that the company is currently executing any project/capacity expansion.
Once the under-construction project is complete, it is shifted from CWIP to NFA.</t>
        </r>
      </text>
    </comment>
    <comment ref="A43" authorId="0" shapeId="0" xr:uid="{00000000-0006-0000-0100-00003B000000}">
      <text>
        <r>
          <rPr>
            <sz val="9"/>
            <color indexed="81"/>
            <rFont val="Tahoma"/>
            <family val="2"/>
          </rPr>
          <t xml:space="preserve">Represents the dividend paid by the company in a financial year. The dividend shown here does not include the dividend distribution tax (DDT).
The conditional formatting highlights the years where Dividend increased from previous year as </t>
        </r>
        <r>
          <rPr>
            <b/>
            <sz val="9"/>
            <color indexed="81"/>
            <rFont val="Tahoma"/>
            <family val="2"/>
          </rPr>
          <t>"Green"</t>
        </r>
        <r>
          <rPr>
            <sz val="9"/>
            <color indexed="81"/>
            <rFont val="Tahoma"/>
            <family val="2"/>
          </rPr>
          <t xml:space="preserve"> and years where Dividend decreased from previous year as </t>
        </r>
        <r>
          <rPr>
            <b/>
            <sz val="9"/>
            <color indexed="81"/>
            <rFont val="Tahoma"/>
            <family val="2"/>
          </rPr>
          <t>"Red"</t>
        </r>
        <r>
          <rPr>
            <sz val="9"/>
            <color indexed="81"/>
            <rFont val="Tahoma"/>
            <family val="2"/>
          </rPr>
          <t xml:space="preserve">
A company, which generates FCF should pay dividends to shareholders to share the fruits of growth with the shareholders.</t>
        </r>
      </text>
    </comment>
    <comment ref="N43" authorId="0" shapeId="0" xr:uid="{00000000-0006-0000-0100-00003C000000}">
      <text>
        <r>
          <rPr>
            <sz val="9"/>
            <color indexed="81"/>
            <rFont val="Tahoma"/>
            <family val="2"/>
          </rPr>
          <t>Represents the trend of growth in Dividend for last 10 years, last 7 years, last 5 years and last 3 years
If the company generates positive FCF, then Higher the dividend growth rate, the better
If FCF is negative, then the dividend is funded by debt and the investor should not take any comfort of such dividend growth rate.</t>
        </r>
      </text>
    </comment>
    <comment ref="A44" authorId="0" shapeId="0" xr:uid="{00000000-0006-0000-0100-00003D000000}">
      <text>
        <r>
          <rPr>
            <sz val="9"/>
            <color indexed="81"/>
            <rFont val="Tahoma"/>
            <family val="2"/>
          </rPr>
          <t>=Dividend paid/net profit after tax.
This criterion helps in identification of any stable dividend payout policy, if it is being followed by the company for paying dividend year on year
It is good if the dividend payout ratio is constant or improving. It means that the company follows:
1. a stable dividend policy.
2. is interested in sharing higher rewards of the growth with shareholders with higher growth in business</t>
        </r>
      </text>
    </comment>
    <comment ref="A45" authorId="0" shapeId="0" xr:uid="{00000000-0006-0000-0100-00003E000000}">
      <text>
        <r>
          <rPr>
            <sz val="9"/>
            <color indexed="81"/>
            <rFont val="Tahoma"/>
            <family val="2"/>
          </rPr>
          <t>=Net profit after tax - Dividend Payout
Cumulative retained earnings of last 10 years are compared with the increase in market capitalization of the company over last 10 years to see whether the company has created at least equal wealth for its shareholders than the earnings that has been retained by it over last 10 years.
It helps in identifying companies which have generated wealth for shareholders from those companies which have destroyed wealth for shareholders
Cumulative retained earnings should be compared with cumulative increase in market capitalization over the years.</t>
        </r>
      </text>
    </comment>
    <comment ref="A46" authorId="0" shapeId="0" xr:uid="{00000000-0006-0000-0100-00003F000000}">
      <text>
        <r>
          <rPr>
            <sz val="9"/>
            <color indexed="81"/>
            <rFont val="Tahoma"/>
            <family val="2"/>
          </rPr>
          <t xml:space="preserve">= Share market price/earnings per share for the period
P/E ratio is an important criterion to arrive at valuation levels of any company's stock
Lower the P/E ratio, the better
Conditional formatting: If the PE ratio has increased from previous year, then the cell will be highlighted </t>
        </r>
        <r>
          <rPr>
            <b/>
            <sz val="9"/>
            <color indexed="81"/>
            <rFont val="Tahoma"/>
            <family val="2"/>
          </rPr>
          <t>"Green".</t>
        </r>
        <r>
          <rPr>
            <sz val="9"/>
            <color indexed="81"/>
            <rFont val="Tahoma"/>
            <family val="2"/>
          </rPr>
          <t xml:space="preserve"> On the contrary, if the PE ratio has decreased over previous year, then the cell will be highlighted </t>
        </r>
        <r>
          <rPr>
            <b/>
            <sz val="9"/>
            <color indexed="81"/>
            <rFont val="Tahoma"/>
            <family val="2"/>
          </rPr>
          <t>"Red".</t>
        </r>
        <r>
          <rPr>
            <sz val="9"/>
            <color indexed="81"/>
            <rFont val="Tahoma"/>
            <family val="2"/>
          </rPr>
          <t xml:space="preserve"> (This is to show the increasing benefits to the existing shareholders).</t>
        </r>
      </text>
    </comment>
    <comment ref="N46" authorId="0" shapeId="0" xr:uid="{00000000-0006-0000-0100-000040000000}">
      <text>
        <r>
          <rPr>
            <sz val="9"/>
            <color indexed="81"/>
            <rFont val="Tahoma"/>
            <family val="2"/>
          </rPr>
          <t>Represents the trend of average Price to Earnings ratio (P/E) for last 10 years, last 7 years, last 5 years, last 3 years and the OPM in last 12 months 
Lower the P/E ratio, the better.</t>
        </r>
      </text>
    </comment>
    <comment ref="A47" authorId="0" shapeId="0" xr:uid="{00000000-0006-0000-0100-000041000000}">
      <text>
        <r>
          <rPr>
            <sz val="9"/>
            <color indexed="81"/>
            <rFont val="Tahoma"/>
            <family val="2"/>
          </rPr>
          <t xml:space="preserve">Represents the market capitalization of a company for the financial year. The share price taken here is the average price for the month of April of each financial year.
Cumulative retained earnings should be compared with cumulative increase in market capitalization over the years
Conditional formatting: If the market capitalization has increased from previous year, then the cell will be highlighted </t>
        </r>
        <r>
          <rPr>
            <b/>
            <sz val="9"/>
            <color indexed="81"/>
            <rFont val="Tahoma"/>
            <family val="2"/>
          </rPr>
          <t>"Green".</t>
        </r>
        <r>
          <rPr>
            <sz val="9"/>
            <color indexed="81"/>
            <rFont val="Tahoma"/>
            <family val="2"/>
          </rPr>
          <t xml:space="preserve"> On the contrary, if the market capitalization has decreased over previous year, then the cell will be highlighted </t>
        </r>
        <r>
          <rPr>
            <b/>
            <sz val="9"/>
            <color indexed="81"/>
            <rFont val="Tahoma"/>
            <family val="2"/>
          </rPr>
          <t>"Red".</t>
        </r>
      </text>
    </comment>
    <comment ref="A48" authorId="0" shapeId="0" xr:uid="{00000000-0006-0000-0100-000042000000}">
      <text>
        <r>
          <rPr>
            <sz val="9"/>
            <color indexed="81"/>
            <rFont val="Tahoma"/>
            <family val="2"/>
          </rPr>
          <t>=Cash &amp; equivalent + Current Investments + Non Current Investments held by the company at the end of the financial year
Very high cash levels in companies, which do not pay out dividends should be looked with caution. It might be that the cash shown on the balance sheet is fictitious.</t>
        </r>
      </text>
    </comment>
    <comment ref="A50" authorId="0" shapeId="0" xr:uid="{00000000-0006-0000-0100-000043000000}">
      <text>
        <r>
          <rPr>
            <sz val="9"/>
            <color indexed="81"/>
            <rFont val="Tahoma"/>
            <family val="2"/>
          </rPr>
          <t xml:space="preserve">Represents the total debt of the company at the financial year ending date. 
The conditional formatting highlights the years where total debt decreased from previous year as </t>
        </r>
        <r>
          <rPr>
            <b/>
            <sz val="9"/>
            <color indexed="81"/>
            <rFont val="Tahoma"/>
            <family val="2"/>
          </rPr>
          <t>"Green"</t>
        </r>
        <r>
          <rPr>
            <sz val="9"/>
            <color indexed="81"/>
            <rFont val="Tahoma"/>
            <family val="2"/>
          </rPr>
          <t xml:space="preserve"> and years where total debt increased from previous year as </t>
        </r>
        <r>
          <rPr>
            <b/>
            <sz val="9"/>
            <color indexed="81"/>
            <rFont val="Tahoma"/>
            <family val="2"/>
          </rPr>
          <t>"Red"</t>
        </r>
        <r>
          <rPr>
            <sz val="9"/>
            <color indexed="81"/>
            <rFont val="Tahoma"/>
            <family val="2"/>
          </rPr>
          <t xml:space="preserve">
Lower the debt, the better. 
Debt represents the excess funds used by the company than what it is generating from its operations. It is like living beyond your means.</t>
        </r>
      </text>
    </comment>
    <comment ref="N50" authorId="0" shapeId="0" xr:uid="{00000000-0006-0000-0100-000044000000}">
      <text>
        <r>
          <rPr>
            <sz val="9"/>
            <color indexed="81"/>
            <rFont val="Tahoma"/>
            <family val="2"/>
          </rPr>
          <t>Represents the trend of growth in total debt for last 10 years, last 7 years, last 5 years and last 3 years
Lower the debt, the better.
Debt represents the excess funds used by the company than what it is generating from its operations. It is like living beyond your means.</t>
        </r>
      </text>
    </comment>
    <comment ref="A51" authorId="0" shapeId="0" xr:uid="{00000000-0006-0000-0100-000045000000}">
      <text>
        <r>
          <rPr>
            <sz val="9"/>
            <color indexed="81"/>
            <rFont val="Tahoma"/>
            <family val="2"/>
          </rPr>
          <t>Represents the total shareholders' funds invested in the company at the end of financial year. It includes paid up capital and reserves including retained earnings.
Compare the increase in equity with the retained earnings for the year. They should ideally be the same.</t>
        </r>
      </text>
    </comment>
    <comment ref="N51" authorId="0" shapeId="0" xr:uid="{00000000-0006-0000-0100-000046000000}">
      <text>
        <r>
          <rPr>
            <sz val="9"/>
            <color indexed="81"/>
            <rFont val="Tahoma"/>
            <family val="2"/>
          </rPr>
          <t>Represents the trend of growth in book value per share for last 10 years, last 7 years, last 5 years and last 3 years
Higher the increase in book value over the years, the better.</t>
        </r>
      </text>
    </comment>
    <comment ref="A52" authorId="0" shapeId="0" xr:uid="{00000000-0006-0000-0100-000047000000}">
      <text>
        <r>
          <rPr>
            <sz val="9"/>
            <color indexed="81"/>
            <rFont val="Tahoma"/>
            <family val="2"/>
          </rPr>
          <t>=Total Debt/Total Equity
It represents the extent of leverage that a company has in its capital structure. Higher D/E ratio represents high leverage and vice versa
Lower the debt to equity ratio, the better.
However, more than the debt to equity ratio, it is important to check the debt serviceability by way of interest coverage and FCF.
There have been cases where the company had low debt to equity ratio, but still faced financial stress as the operating profit &amp; cash was not sufficient to meet debt obligations.</t>
        </r>
      </text>
    </comment>
    <comment ref="A53" authorId="0" shapeId="0" xr:uid="{00000000-0006-0000-0100-000048000000}">
      <text>
        <r>
          <rPr>
            <sz val="9"/>
            <color indexed="81"/>
            <rFont val="Tahoma"/>
            <family val="2"/>
          </rPr>
          <t>It is a manual entry field provided for the investors to put in the assumed cost of debt (Interest rate), which the investor believes that lenders would be charging to the company for their loans.
The default value is 12%. The investor can change the value to her preference.</t>
        </r>
      </text>
    </comment>
    <comment ref="A54" authorId="0" shapeId="0" xr:uid="{00000000-0006-0000-0100-000049000000}">
      <text>
        <r>
          <rPr>
            <sz val="9"/>
            <color indexed="81"/>
            <rFont val="Tahoma"/>
            <family val="2"/>
          </rPr>
          <t>=Cost of funds*(average of total debt at the start and end of the financial year)
The interest outgo, calculated on total debt, takes care of the interest that has been capitalized by the company and therefore, has not been shown as interest expense in the P&amp;L statement.
Lower the interest outgo the better</t>
        </r>
      </text>
    </comment>
    <comment ref="A55" authorId="0" shapeId="0" xr:uid="{00000000-0006-0000-0100-00004A000000}">
      <text>
        <r>
          <rPr>
            <sz val="9"/>
            <color indexed="81"/>
            <rFont val="Tahoma"/>
            <family val="2"/>
          </rPr>
          <t xml:space="preserve">=Operating profit/interest outgo
It represents the servicing ability of the company for the total interest outgo of the company, including P&amp;L and capitalized interest.
Higher the interest coverage, the better.
Conditional formatting: A cell will be highlighted </t>
        </r>
        <r>
          <rPr>
            <b/>
            <sz val="9"/>
            <color indexed="81"/>
            <rFont val="Tahoma"/>
            <family val="2"/>
          </rPr>
          <t>"Red"</t>
        </r>
        <r>
          <rPr>
            <sz val="9"/>
            <color indexed="81"/>
            <rFont val="Tahoma"/>
            <family val="2"/>
          </rPr>
          <t xml:space="preserve"> if the interest coverage ratio is less than 1</t>
        </r>
      </text>
    </comment>
    <comment ref="A58" authorId="0" shapeId="0" xr:uid="{00000000-0006-0000-0100-00004B000000}">
      <text>
        <r>
          <rPr>
            <sz val="9"/>
            <color indexed="81"/>
            <rFont val="Tahoma"/>
            <family val="2"/>
          </rPr>
          <t xml:space="preserve">Represents the CFO for the financial year as reported by the company in its cash flow statements. 
The conditional formatting highlights the years where CFO is greater than PAT as </t>
        </r>
        <r>
          <rPr>
            <b/>
            <sz val="9"/>
            <color indexed="81"/>
            <rFont val="Tahoma"/>
            <family val="2"/>
          </rPr>
          <t>"Green"</t>
        </r>
        <r>
          <rPr>
            <sz val="9"/>
            <color indexed="81"/>
            <rFont val="Tahoma"/>
            <family val="2"/>
          </rPr>
          <t xml:space="preserve"> and years where CFO is less than PAT as </t>
        </r>
        <r>
          <rPr>
            <b/>
            <sz val="9"/>
            <color indexed="81"/>
            <rFont val="Tahoma"/>
            <family val="2"/>
          </rPr>
          <t>"Red"</t>
        </r>
        <r>
          <rPr>
            <sz val="9"/>
            <color indexed="81"/>
            <rFont val="Tahoma"/>
            <family val="2"/>
          </rPr>
          <t xml:space="preserve">
Higher the CFO the better. Always compare CFO with PAT to see if the funds are getting stuck or released from working capital</t>
        </r>
      </text>
    </comment>
    <comment ref="A59" authorId="0" shapeId="0" xr:uid="{00000000-0006-0000-0100-00004C000000}">
      <text>
        <r>
          <rPr>
            <sz val="9"/>
            <color indexed="81"/>
            <rFont val="Tahoma"/>
            <family val="2"/>
          </rPr>
          <t>Represents the CFI for the financial year as reported by the company in its cash flow statements.
If higher outflow in CFI, then read the annual report to find out whether the same is for capex or other investments</t>
        </r>
      </text>
    </comment>
    <comment ref="A60" authorId="0" shapeId="0" xr:uid="{00000000-0006-0000-0100-00004D000000}">
      <text>
        <r>
          <rPr>
            <sz val="9"/>
            <color indexed="81"/>
            <rFont val="Tahoma"/>
            <family val="2"/>
          </rPr>
          <t>Represents the CFF for the financial year as reported by the company in its cash flow statements.
Contains debt repayments, interest payments, dividend payments</t>
        </r>
      </text>
    </comment>
    <comment ref="A61" authorId="0" shapeId="0" xr:uid="{00000000-0006-0000-0100-00004E000000}">
      <text>
        <r>
          <rPr>
            <sz val="9"/>
            <color indexed="81"/>
            <rFont val="Tahoma"/>
            <family val="2"/>
          </rPr>
          <t>Represents the Net cash inflow/outflow (CFO+CFI+CFF) for the financial year et reported by the company in its net flow statements.
Net cash made/consumed by the company in a year.
The higher the net cash flow the better</t>
        </r>
      </text>
    </comment>
    <comment ref="A62" authorId="0" shapeId="0" xr:uid="{00000000-0006-0000-0100-00004F000000}">
      <text>
        <r>
          <rPr>
            <sz val="9"/>
            <color indexed="81"/>
            <rFont val="Tahoma"/>
            <family val="2"/>
          </rPr>
          <t>Represents the net cash &amp; equivalents reported by the company at the end of the financial year.
Please note that Cash &amp; Equivalents shown here does not include Current Investments (usually FDs and Mutual Funds) and Non Current Investments (Equities, JV etc.) made by the company
Very high cash levels in companies, which do not pay out dividends should be looked with caution. It might be that the cash shown on the balance sheet is fictitious.</t>
        </r>
      </text>
    </comment>
    <comment ref="A64" authorId="0" shapeId="0" xr:uid="{00000000-0006-0000-0100-000050000000}">
      <text>
        <r>
          <rPr>
            <sz val="9"/>
            <color indexed="81"/>
            <rFont val="Tahoma"/>
            <family val="2"/>
          </rPr>
          <t>represents the sum of earnings retained and not distributed by the company over last 10 years
Cumulative retained earnings should be compared with cumulative increase in market capitalization over the years.</t>
        </r>
      </text>
    </comment>
    <comment ref="A65" authorId="0" shapeId="0" xr:uid="{00000000-0006-0000-0100-000051000000}">
      <text>
        <r>
          <rPr>
            <sz val="9"/>
            <color indexed="81"/>
            <rFont val="Tahoma"/>
            <family val="2"/>
          </rPr>
          <t xml:space="preserve">Represents the increase in market capitalization of the company since 10 years ago.
Please note that the increase in market capitalization has been taken up to the current date from the market capitalization of 10 years before as I believe that the current market capitalization rather than the market capitalization at the end of recent most financial year to be better a representative of up to date wealth generation data.
Cumulative retained earnings should be compared with cumulative increase in market capitalization over the years.
Conditional formatting: If the increase in market capitalization over 10 years is higher than the retained earnings, then the cell will be highlighted </t>
        </r>
        <r>
          <rPr>
            <b/>
            <sz val="9"/>
            <color indexed="81"/>
            <rFont val="Tahoma"/>
            <family val="2"/>
          </rPr>
          <t>"Green".</t>
        </r>
        <r>
          <rPr>
            <sz val="9"/>
            <color indexed="81"/>
            <rFont val="Tahoma"/>
            <family val="2"/>
          </rPr>
          <t xml:space="preserve"> On the contrary, if the increase in market capitalization over 10 years is lower than the retained earnings, then the cell will be highlighted </t>
        </r>
        <r>
          <rPr>
            <b/>
            <sz val="9"/>
            <color indexed="81"/>
            <rFont val="Tahoma"/>
            <family val="2"/>
          </rPr>
          <t>"Red".</t>
        </r>
      </text>
    </comment>
    <comment ref="A66" authorId="0" shapeId="0" xr:uid="{00000000-0006-0000-0100-000052000000}">
      <text>
        <r>
          <rPr>
            <sz val="9"/>
            <color indexed="81"/>
            <rFont val="Tahoma"/>
            <family val="2"/>
          </rPr>
          <t>=Increase in market capitalization since 10 years ago/total retained earnings of last 10 years
It is expected that the company should at least create a wealth of INR 1 in market capitalization for its shareholders for every INR 1 of earnings retained by it."
At least INR 1 of increase in market capitalization should have happened for every INR 1 retained by the company. Otherwise, it is a wealth destroying company for shareholders
The higher the value created, the better.</t>
        </r>
      </text>
    </comment>
    <comment ref="A70" authorId="0" shapeId="0" xr:uid="{00000000-0006-0000-0100-000053000000}">
      <text>
        <r>
          <rPr>
            <sz val="9"/>
            <color indexed="81"/>
            <rFont val="Tahoma"/>
            <family val="2"/>
          </rPr>
          <t xml:space="preserve">Formula used is (Raw Material Costs - Change in Inventory)/Sales for the year
It is preferable to have declining or stable Raw material costs as a % of sales over the years. It indicates that the company is able to pass on increase in raw material costs to its customers.
Conditional formatting: A cell will be highlighted </t>
        </r>
        <r>
          <rPr>
            <b/>
            <sz val="9"/>
            <color indexed="81"/>
            <rFont val="Tahoma"/>
            <family val="2"/>
          </rPr>
          <t>"Green"</t>
        </r>
        <r>
          <rPr>
            <sz val="9"/>
            <color indexed="81"/>
            <rFont val="Tahoma"/>
            <family val="2"/>
          </rPr>
          <t xml:space="preserve"> if the expense % has declined from previous year. On the contrary, if the expense % has increased over previous year, then the cell will be highlighted </t>
        </r>
        <r>
          <rPr>
            <b/>
            <sz val="9"/>
            <color indexed="81"/>
            <rFont val="Tahoma"/>
            <family val="2"/>
          </rPr>
          <t>"Red".</t>
        </r>
      </text>
    </comment>
    <comment ref="A71" authorId="0" shapeId="0" xr:uid="{00000000-0006-0000-0100-000054000000}">
      <text>
        <r>
          <rPr>
            <sz val="9"/>
            <color indexed="81"/>
            <rFont val="Tahoma"/>
            <family val="2"/>
          </rPr>
          <t xml:space="preserve">Formula used is Power &amp; Fuel costs/Sales for the year
It is preferable to have declining or stable power &amp; fuel costs as a % of sales over the years.
Conditional formatting: A cell will be highlighted </t>
        </r>
        <r>
          <rPr>
            <b/>
            <sz val="9"/>
            <color indexed="81"/>
            <rFont val="Tahoma"/>
            <family val="2"/>
          </rPr>
          <t>"Green"</t>
        </r>
        <r>
          <rPr>
            <sz val="9"/>
            <color indexed="81"/>
            <rFont val="Tahoma"/>
            <family val="2"/>
          </rPr>
          <t xml:space="preserve"> if the expense % has declined from previous year. On the contrary, if the expense % has increased over previous year, then the cell will be highlighted </t>
        </r>
        <r>
          <rPr>
            <b/>
            <sz val="9"/>
            <color indexed="81"/>
            <rFont val="Tahoma"/>
            <family val="2"/>
          </rPr>
          <t>"Red".</t>
        </r>
      </text>
    </comment>
    <comment ref="A72" authorId="0" shapeId="0" xr:uid="{00000000-0006-0000-0100-000055000000}">
      <text>
        <r>
          <rPr>
            <sz val="9"/>
            <color indexed="81"/>
            <rFont val="Tahoma"/>
            <family val="2"/>
          </rPr>
          <t xml:space="preserve">Formula used is Employee costs/Sales for the year
It is preferable to have declining or stable employee costs as a % of sales over the years. Investors may also compare employee costs of a company with its peers to find out whether there are any major differences
Conditional formatting: A cell will be highlighted </t>
        </r>
        <r>
          <rPr>
            <b/>
            <sz val="9"/>
            <color indexed="81"/>
            <rFont val="Tahoma"/>
            <family val="2"/>
          </rPr>
          <t>"Green"</t>
        </r>
        <r>
          <rPr>
            <sz val="9"/>
            <color indexed="81"/>
            <rFont val="Tahoma"/>
            <family val="2"/>
          </rPr>
          <t xml:space="preserve"> if the expense % has declined from previous year. On the contrary, if the expense % has increased over previous year, then the cell will be highlighted </t>
        </r>
        <r>
          <rPr>
            <b/>
            <sz val="9"/>
            <color indexed="81"/>
            <rFont val="Tahoma"/>
            <family val="2"/>
          </rPr>
          <t>"Red".</t>
        </r>
      </text>
    </comment>
    <comment ref="A73" authorId="0" shapeId="0" xr:uid="{00000000-0006-0000-0100-000056000000}">
      <text>
        <r>
          <rPr>
            <sz val="9"/>
            <color indexed="81"/>
            <rFont val="Tahoma"/>
            <family val="2"/>
          </rPr>
          <t xml:space="preserve">Formula used is Selling &amp; Admin Costs/Sales for the year
It is preferable to have declining or stable Selling &amp; Admin costs as a % of sales over the years.
Conditional formatting: A cell will be highlighted </t>
        </r>
        <r>
          <rPr>
            <b/>
            <sz val="9"/>
            <color indexed="81"/>
            <rFont val="Tahoma"/>
            <family val="2"/>
          </rPr>
          <t>"Green"</t>
        </r>
        <r>
          <rPr>
            <sz val="9"/>
            <color indexed="81"/>
            <rFont val="Tahoma"/>
            <family val="2"/>
          </rPr>
          <t xml:space="preserve"> if the expense % has declined from previous year. On the contrary, if the expense % has increased over previous year, then the cell will be highlighted </t>
        </r>
        <r>
          <rPr>
            <b/>
            <sz val="9"/>
            <color indexed="81"/>
            <rFont val="Tahoma"/>
            <family val="2"/>
          </rPr>
          <t>"Red".</t>
        </r>
      </text>
    </comment>
    <comment ref="A74" authorId="0" shapeId="0" xr:uid="{00000000-0006-0000-0100-000057000000}">
      <text>
        <r>
          <rPr>
            <sz val="9"/>
            <color indexed="81"/>
            <rFont val="Tahoma"/>
            <family val="2"/>
          </rPr>
          <t xml:space="preserve">Formula used is Other Mfr. Exp/Sales for the year
It is preferable to have declining or stable other manufacturing expenses as a % of sales over the years.
Conditional formatting: A cell will be highlighted </t>
        </r>
        <r>
          <rPr>
            <b/>
            <sz val="9"/>
            <color indexed="81"/>
            <rFont val="Tahoma"/>
            <family val="2"/>
          </rPr>
          <t>"Green"</t>
        </r>
        <r>
          <rPr>
            <sz val="9"/>
            <color indexed="81"/>
            <rFont val="Tahoma"/>
            <family val="2"/>
          </rPr>
          <t xml:space="preserve"> if the expense % has declined from previous year. On the contrary, if the expense % has increased over previous year, then the cell will be highlighted </t>
        </r>
        <r>
          <rPr>
            <b/>
            <sz val="9"/>
            <color indexed="81"/>
            <rFont val="Tahoma"/>
            <family val="2"/>
          </rPr>
          <t>"Red".</t>
        </r>
      </text>
    </comment>
    <comment ref="A75" authorId="0" shapeId="0" xr:uid="{00000000-0006-0000-0100-000058000000}">
      <text>
        <r>
          <rPr>
            <sz val="9"/>
            <color indexed="81"/>
            <rFont val="Tahoma"/>
            <family val="2"/>
          </rPr>
          <t xml:space="preserve">Formula used is Other Expenses/Sales for the year
It is preferable to have declining or stable other expenses as a % of sales over the years.
Conditional formatting: A cell will be highlighted </t>
        </r>
        <r>
          <rPr>
            <b/>
            <sz val="9"/>
            <color indexed="81"/>
            <rFont val="Tahoma"/>
            <family val="2"/>
          </rPr>
          <t>"Green"</t>
        </r>
        <r>
          <rPr>
            <sz val="9"/>
            <color indexed="81"/>
            <rFont val="Tahoma"/>
            <family val="2"/>
          </rPr>
          <t xml:space="preserve"> if the expense % has declined from previous year. On the contrary, if the expense % has increased over previous year, then the cell will be highlighted </t>
        </r>
        <r>
          <rPr>
            <b/>
            <sz val="9"/>
            <color indexed="81"/>
            <rFont val="Tahoma"/>
            <family val="2"/>
          </rPr>
          <t>"Red".</t>
        </r>
      </text>
    </comment>
  </commentList>
</comments>
</file>

<file path=xl/sharedStrings.xml><?xml version="1.0" encoding="utf-8"?>
<sst xmlns="http://schemas.openxmlformats.org/spreadsheetml/2006/main" count="207" uniqueCount="180">
  <si>
    <t>COMPANY NAME</t>
  </si>
  <si>
    <t>Narration</t>
  </si>
  <si>
    <t>Sales</t>
  </si>
  <si>
    <t>Expenses</t>
  </si>
  <si>
    <t>Operating Profit</t>
  </si>
  <si>
    <t>Other Income</t>
  </si>
  <si>
    <t>Depreciation</t>
  </si>
  <si>
    <t>Interest</t>
  </si>
  <si>
    <t>Profit before tax</t>
  </si>
  <si>
    <t>Tax</t>
  </si>
  <si>
    <t>Net profit</t>
  </si>
  <si>
    <t>Price to earning</t>
  </si>
  <si>
    <t>OPM</t>
  </si>
  <si>
    <t>TRENDS:</t>
  </si>
  <si>
    <t>Equity Share Capital</t>
  </si>
  <si>
    <t>Reserves</t>
  </si>
  <si>
    <t>Total</t>
  </si>
  <si>
    <t>Net Block</t>
  </si>
  <si>
    <t>Capital Work in Progress</t>
  </si>
  <si>
    <t>Investments</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</si>
  <si>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</si>
  <si>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</si>
  <si>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</si>
  <si>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</si>
  <si>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</si>
  <si>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</si>
  <si>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</si>
  <si>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</si>
  <si>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</si>
  <si>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</si>
  <si>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</si>
  <si>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</si>
  <si>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</si>
  <si>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Inventory</t>
  </si>
  <si>
    <t>LATEST VERSION</t>
  </si>
  <si>
    <t>CURRENT VERSION</t>
  </si>
  <si>
    <t>HESTER BIOSCIENCES LTD</t>
  </si>
  <si>
    <t>META</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</si>
  <si>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</si>
  <si>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</si>
  <si>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</si>
  <si>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</si>
  <si>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</si>
  <si>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</si>
  <si>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</si>
  <si>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</si>
  <si>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</si>
  <si>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</si>
  <si>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</si>
  <si>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</si>
  <si>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</si>
  <si>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</si>
  <si>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</si>
  <si>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</si>
  <si>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</si>
  <si>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</si>
  <si>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</si>
  <si>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</si>
  <si>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 Crores/10 Millions)</t>
  </si>
  <si>
    <t>&lt;&lt; Latest available quarterly results</t>
  </si>
  <si>
    <t>Last 4 Quarters</t>
  </si>
  <si>
    <t>10Yr</t>
  </si>
  <si>
    <t>7Yr</t>
  </si>
  <si>
    <t>5Yr</t>
  </si>
  <si>
    <t>3Yr</t>
  </si>
  <si>
    <t>TTM</t>
  </si>
  <si>
    <t>Operating Profit Margin (OPM%)</t>
  </si>
  <si>
    <t>Avg. PE</t>
  </si>
  <si>
    <t>CMP</t>
  </si>
  <si>
    <t>Profit before tax (PBT)</t>
  </si>
  <si>
    <t>P/E</t>
  </si>
  <si>
    <t>Tax%</t>
  </si>
  <si>
    <t>P/B</t>
  </si>
  <si>
    <t>Net profit after tax (PAT)</t>
  </si>
  <si>
    <t>P/E*P/B</t>
  </si>
  <si>
    <t>Net Profit Margin (NPM%)</t>
  </si>
  <si>
    <t>Div Yield</t>
  </si>
  <si>
    <t>Cash from Operating Activity (CFO)</t>
  </si>
  <si>
    <t>CFO</t>
  </si>
  <si>
    <t>Capex {(NFA+WIP) change+Dep}</t>
  </si>
  <si>
    <t>Capex</t>
  </si>
  <si>
    <t>FCF</t>
  </si>
  <si>
    <t>Total Retained Earnings (RE) in 10 Yrs (A)</t>
  </si>
  <si>
    <t>Total Debt (D)</t>
  </si>
  <si>
    <t>Total increase in Mcap in 10 yrs (B)</t>
  </si>
  <si>
    <t>Share Capital</t>
  </si>
  <si>
    <t>Total Div 10 Yrs</t>
  </si>
  <si>
    <t>Value created per INR of RE (B/A)</t>
  </si>
  <si>
    <t>Dividend Paid (Div) Without DDT</t>
  </si>
  <si>
    <t>Cash + Investments (CI +NCI)</t>
  </si>
  <si>
    <t>Closing share price on March 31, 10 years back</t>
  </si>
  <si>
    <t>FCF/CFO</t>
  </si>
  <si>
    <t>Self-Sustainable Growth Rate (SSGR)</t>
  </si>
  <si>
    <t>Interest Outgo</t>
  </si>
  <si>
    <t>Trade Receivables</t>
  </si>
  <si>
    <t>EBITDA</t>
  </si>
  <si>
    <t>PBT/Avg. NFA (&lt;10%,&gt;25%)</t>
  </si>
  <si>
    <t>ROE on Avg Equity (&lt;7%,&gt;25%)</t>
  </si>
  <si>
    <t>ROCE (EBIT on Avg CE/TA) (&lt;10%,&gt;35%)</t>
  </si>
  <si>
    <t>Incremental ROE 3Yr Rolling</t>
  </si>
  <si>
    <t>Net Fixed Asset Turnover (High is better)</t>
  </si>
  <si>
    <t>Receivables days (Low is better)</t>
  </si>
  <si>
    <t>Inventory Turnover (High is better)</t>
  </si>
  <si>
    <t>Working capital cycle days (Rec + Inv Days)</t>
  </si>
  <si>
    <t>Net Fixed Assets (NFA)</t>
  </si>
  <si>
    <t>Capital Work in Progress (CWIP)</t>
  </si>
  <si>
    <t>Dividend Payout (Div/PAT)</t>
  </si>
  <si>
    <t>Retained Earnings (RE=PAT-Div)</t>
  </si>
  <si>
    <t>Debt</t>
  </si>
  <si>
    <t>Total Equity (E)</t>
  </si>
  <si>
    <t>Debt to Equity ratio (D/E)</t>
  </si>
  <si>
    <t>Cost of funds</t>
  </si>
  <si>
    <t>Interest Coverage (OP/Int. Out)</t>
  </si>
  <si>
    <t>Cash from Investing Activity (CFI)</t>
  </si>
  <si>
    <t>Cash from Financing Activity (CFF)</t>
  </si>
  <si>
    <t>Net Cash Flow (CFO+CFI+CFF)</t>
  </si>
  <si>
    <t>Cash &amp; Eq. at the end of year</t>
  </si>
  <si>
    <t>Depreciation % of NFA</t>
  </si>
  <si>
    <t>Costs as % of Sales</t>
  </si>
  <si>
    <t>Raw Material</t>
  </si>
  <si>
    <t>Power &amp; Fuel</t>
  </si>
  <si>
    <t>Employee Costs</t>
  </si>
  <si>
    <t>Selling &amp; Admin Costs</t>
  </si>
  <si>
    <t>Other Manufacturing Expenses</t>
  </si>
  <si>
    <t>This excel sheet is for sole use of the buyer from drvijaymalik.com. Any copying and sharing of this excel sheet is prohibited.</t>
  </si>
  <si>
    <t xml:space="preserve"> Instructions to the buyer:</t>
  </si>
  <si>
    <t>This purchase is limited to the current version of the excel sheet only. Any future updates/versions of the excel sheet need to be bought separately.
If in future, because of any reasons, screener changes the format of data it provides in the "Data Sheet" or makes this template invalid, then I would not be able to provide resolution of the issues in this excel template. 
In such a scenario, I might come up with a new version of the excel template. However, the new version needs to be bought separately by the users.</t>
  </si>
  <si>
    <t>Steps to use this excel sheet:</t>
  </si>
  <si>
    <t>It is highly advised that investors read the following article to see step by step screenshots of using this excel template including uploading it on Screener website here:</t>
  </si>
  <si>
    <t>Download and save the "Dr. Vijay Malik Screener Excel Template" file on your computer</t>
  </si>
  <si>
    <t>log in to screener.in website with your user name and password</t>
  </si>
  <si>
    <t>After logging in screener.in, copy and paste the following link in the web-browser and upload this excel sheet on this page.</t>
  </si>
  <si>
    <t xml:space="preserve"> https://www.screener.in/excel/</t>
  </si>
  <si>
    <t>To upload, once you have reached the above webpage, click on the button "Choose File". A new dialogue box window will open. In the new window, navigate to the folder where you have saved the "Dr. Vijay Malik Screener Excel Template". Select the file and click open in the dialogue box. 
After clicking "Open" the dialogue box will close and you would see the abridged path of the selected file next to the button "Choose File".
Now, click on the button "Upload" to finally upload the excel template in the screener system.</t>
  </si>
  <si>
    <t xml:space="preserve">Done! </t>
  </si>
  <si>
    <r>
      <t xml:space="preserve">Now onwards, whenever you would click on export to excel button on the company page at screener website, you would get the data in this excel sheet format and you can analyse the stocks within a few minutes by analysing the data on the </t>
    </r>
    <r>
      <rPr>
        <b/>
        <sz val="11"/>
        <color theme="1"/>
        <rFont val="Calibri"/>
        <family val="2"/>
        <scheme val="minor"/>
      </rPr>
      <t>"Dr. Vijay Malik Analysis"</t>
    </r>
    <r>
      <rPr>
        <sz val="11"/>
        <color theme="1"/>
        <rFont val="Calibri"/>
        <family val="2"/>
        <scheme val="minor"/>
      </rPr>
      <t xml:space="preserve"> sheet.</t>
    </r>
  </si>
  <si>
    <t>In Excel go to File &gt; Options &gt; Trust Center &gt; Trust Center Settings &gt; Protected View, and then uncheck Enabled Protected View for files originating from the Internet.
Otherwise, when you would download "Export to Excel" file of companies from screener.in, the Data sheet would be filled properly but "Dr Vijay Malik Analysis" worksheet would remain blank.</t>
  </si>
  <si>
    <t>Target Company:</t>
  </si>
  <si>
    <t>Please do not make any change to any formula/sheet in this excel workbook. Any change might lead to corruption of the formula links and might lead to erroneous results</t>
  </si>
  <si>
    <t>Version No</t>
  </si>
  <si>
    <t>Changes</t>
  </si>
  <si>
    <t>Comprehensively revised the Excel Sheet: 
1. Added the section of various expenses as a percentage of sales (Raw material, Power &amp; Fuel, Employee Costs, Selling and Admin Costs, other manufacturing expenses and Other expenses as a percentage of sales).
2. Added working capital cycle (days) calculation based on inventory and trade receivables.
3. Added rows for trade receivables and inventory and the calculation of total funds consumed in/released from receivables and inventory over last 10 years. It is helpful in quick assessment of one of the key reasons for differences in PAT and CFO.
4. Brought together the data of CFO, Capex, FCF, Total Debt, Share Capital, Dividend Payment and Cash + investment on the upper section of dashboard. This is essential to analyse the cash movements in the company in any year. E.g. in case, the company had a negative FCF, then investor can immediately see the sources of funds to meet negative FCF. In such cases, the company may have raised more debt, which will increase total debt. OR the company may have raised additional equity, which will show as increase in share capital. OR the company may have used existing cash, which will show as decline in cash + investment. Similarly, if a company has positive FCF, then it may show as an increase in cash + investment OR as decline in total debt OR high dividend payments or buyback (decline in share capital). The presence of these data points at the top section of the dashboard helps in quick assessment of flow of cash in the company over the years.
5. Added a calcuation of Free Cash Flow to Equity (FCFE), which is calculated as (FCF-interest expense). FCFE calculated in this manner indicates the surplus cash out of CFO remaining after meeting capital expenditure (Capex) and all interest payments (both capitalzied as part of capex as well as the interest expensed in P&amp;L)
6. Unhid the "depreciation" row in the dashboard
7. Removed the ratio "SG to Capex" as it was not proving to be useful.</t>
  </si>
  <si>
    <t>Rectified the error which has creeped in while correcting the issues of version 1.5. The error was leading to the cells for the data of past market cap and P/E ratios in the analysis sheet were not getting filled. The issue has been rectified in Version 1.6</t>
  </si>
  <si>
    <t xml:space="preserve">1. Many times, in cases where the data for last 4 quarters is not present in screener.in (either the company does not declare quarterly results e.g. for consolidated financials OR due to any reasons the screener data sheet does not have quarterly data), then the P/E ratio cell (O14) in the excel sheet which used to calculate P/E based on last 12 months (TTM) figures, loses its accuracy. Therefore, now we have edited the formula in such a fashion that if the data of any of the last 4 quarters is not present, then the P/E ratio cell (O14) will give the P/E ratio based on last FY PAT instead of the TTM PAT.
2. In cases, where the  data for any of the last 4 quarters is not present, then the entire TTM column (i.e. column L), will remain blank.
</t>
  </si>
  <si>
    <t>Unprotected the file with open access to users to edit &amp; customize the template as per their preference</t>
  </si>
  <si>
    <t>Resolved the reported error: 
"if there is no data for particular year in screener, the template has taken the default data ( ie data of Vinati Organics). 
e.g. when tried to analyse "Wonderla" , in screener there is no data for 2006, but after uploading the template  &amp; exporting the excel , it shows the data for 2006 of Vinati organics( default excel sheet)"</t>
  </si>
  <si>
    <t>1. Updated "Instructions" sheet with the guidelines to change Microsoft Excel settings to disable the "Protected View for files originating from the Internet". The change of this setting resolves the issue where upon downloading the "Export to Excel" file from screener.in, the "Data Sheet" was filled properly, however, "Dr. Vijay Malik Analysis" sheet remained blank.</t>
  </si>
  <si>
    <t>1.1</t>
  </si>
  <si>
    <t>1. Added functionality to edit the cells "Closing share price on March 31, 10 years back" and "Cost of funds" in the sheet "Dr. Vijay Malik Analysis" to allow users to enter desired values.
2. Added interpretation and description of parameters "FCF/CFO" and "SG to Capex" in the "Description" Sheet.
3. Updated description of "Share Capital" to add the conditional formatting details in the "Description" Sheet.
4. Added sheet "Version History".</t>
  </si>
  <si>
    <t>Source: Screener.in</t>
  </si>
  <si>
    <t>Change in 10 Yrs</t>
  </si>
  <si>
    <t>Net Cash Generation (FCF+OI+Debt-Int-Div)</t>
  </si>
  <si>
    <t>FCFE.1 (FCF-Int exp)</t>
  </si>
  <si>
    <t>FCFE.2 (FCFE.1 + OI)</t>
  </si>
  <si>
    <t>Surplus funds</t>
  </si>
  <si>
    <t>Mcap CAGR 10Y</t>
  </si>
  <si>
    <t>Inc. in Debt 10Y</t>
  </si>
  <si>
    <t>PE History</t>
  </si>
  <si>
    <t>Months of RM held as Inv. (Low is better)</t>
  </si>
  <si>
    <t>Detailed interpretations and descriptions of each of the parameters used for analysis on "Dr. Vijay Malik Analysis" sheet are provided as comment on the "narration" cell. To know more about any ratio, hover the mouse on the narration cell and the comment box will pop-up that contains the details about the parameter.</t>
  </si>
  <si>
    <t>Total 10 Yr</t>
  </si>
  <si>
    <t>Sales Grth</t>
  </si>
  <si>
    <t>PAT Grth</t>
  </si>
  <si>
    <t>BV Grth</t>
  </si>
  <si>
    <t>M. Cap</t>
  </si>
  <si>
    <t>Retained Earnings (RE) in 10 Yrs (A)</t>
  </si>
  <si>
    <t>Div Grth</t>
  </si>
  <si>
    <t>Book Val</t>
  </si>
  <si>
    <t>1) Added new parameter: Net Cash Generation
2) Updated FCFE calculation at 2 levels: 2.a) FCFE.1 (FCF-Int exp) and 2.b) FCFE.2 (FCFE.1 + OI)
3) Added new parameter: Surplus Funds: FCFE.2 -  Dividend Payouts + Increase in debt in 10 years
4) Added new parameter: No. of Months of raw material held as inventory
5) Added new parameter: CAGR of market cap from the data 10 year’s back to the latest date.
6) Added PE History in row number N10:S10 with PE 10Y back, 7Y back, 5Y back, 3Y back and TTM PE
7) Avg. PE data field shifted to Row 46
8) Shifted Interest outgo next to interest expense
9) Updated the description and interpretations of all the parameters of the Analysis Sheet as “comment” in the narration/label cell</t>
  </si>
  <si>
    <t>Increase in Mcap in 10 yrs (B)</t>
  </si>
  <si>
    <t>Updated the formula for TTM average PE in Cell "S46" to link from "O13" to "O12"</t>
  </si>
  <si>
    <t>The aim of the analysis is to find a debt free company, which is growing at a reasonable pace with sustained/improving profitability margins, which has been showing improvement in operating efficiency and has been generating positive Free Cash Flow over the years.
If an investor is able to find such a company that is available at a cheap price, then investment in such a company has a high probability of creating wealth for the shareholders.</t>
  </si>
  <si>
    <t>Solutions to common errors:</t>
  </si>
  <si>
    <t xml:space="preserve"> "Dr Vijay Malik Analysis" worksheet is blank whereas the Data sheet is filled properly. Also, under the top menu bar, the following message might be present: PROTECTED VIEW:  Be careful-files from the Internet can contain viruses. Unless you need to edit, it's safer to stay in Protected View. "Enable Editing"</t>
  </si>
  <si>
    <t>Error 1</t>
  </si>
  <si>
    <t>Error 2</t>
  </si>
  <si>
    <t>When opening the Excel file, it shows an error: "We found a problem with some content. Do you want us to recover as much as we can. If you trust the source of this workbook, click yes"</t>
  </si>
  <si>
    <t xml:space="preserve">This error is due to unavailability/disabling of Visual Basic For Applications (VBA) while installing Microsoft Office. You may test this VBA error by accessing the Screener website on any different device like a mobile phone and then use the Export to Excel feature. On mobile phone, you may use either Google Sheets or Microsoft Excel for mobile phone to open the Excel template. You would notice that this error does not appear on mobile phone. 
On the laptop, installing the Visual Basics for Applications in the Microsoft Office by taking the following steps resolves this error. To do so, follow these steps: 
- Navigate to Control Panel &gt; Programs and select Microsoft Office. 
- Click ‘Change’ and then select ‘Add or Remove Programs’. 
- Next, click the 'plus' sign provided next to Office Shared Features. 
- Click ‘Visual Basic for Applications’. After that, choose ‘Run from My Computer’ and hit the ‘Continue’ button. 
- Reboot your system when this process finishes. 
It would resolve the error. </t>
  </si>
  <si>
    <t>https://www.drvijaymalik.com/how-to-use-screener-in-export-to-excel-feature-tool/</t>
  </si>
  <si>
    <t>Updated the Instructions sheet and added solution to the error "We found a problem with some content. Do you want us to recover as much as we can. If you trust the source of this workbook, click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</si>
</sst>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_(* \(#,##0.00\);_(* &quot;-&quot;??_);_(@_)"/>
    <numFmt numFmtId="165" formatCode="[$-409]mmm\-yy;@"/>
    <numFmt numFmtId="166" formatCode="_(* #,##0.000_);_(* \(#,##0.000\);_(* &quot;-&quot;??_);_(@_)"/>
    <numFmt numFmtId="167" formatCode="_ * #,##0_ ;_ * \-#,##0_ ;_ * &quot;-&quot;??_ ;_ @_ "/>
    <numFmt numFmtId="168" formatCode="#,##0.0_);[Red]\(#,##0.0\)"/>
    <numFmt numFmtId="169" formatCode="_ * #,##0.0_ ;_ * \-#,##0.0_ ;_ * &quot;-&quot;??_ ;_ @_ "/>
    <numFmt numFmtId="170" formatCode="0.0%"/>
    <numFmt numFmtId="171" formatCode="0.0"/>
  </numFmts>
  <fonts count="13"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sz val="11"/>
      <name val="Calibri"/>
      <family val="2"/>
      <scheme val="minor"/>
    </font>
    <font>
      <b/>
      <sz val="11"/>
      <name val="Calibri"/>
      <family val="2"/>
      <scheme val="minor"/>
    </font>
    <font>
      <b/>
      <sz val="16"/>
      <color theme="0"/>
      <name val="Calibri"/>
      <family val="2"/>
      <scheme val="minor"/>
    </font>
    <font>
      <b/>
      <u/>
      <sz val="11"/>
      <color theme="1"/>
      <name val="Calibri"/>
      <family val="2"/>
      <scheme val="minor"/>
    </font>
    <font>
      <sz val="9"/>
      <color indexed="81"/>
      <name val="Tahoma"/>
      <family val="2"/>
    </font>
    <font>
      <b/>
      <sz val="9"/>
      <color indexed="81"/>
      <name val="Tahoma"/>
      <family val="2"/>
    </font>
    <font>
      <b/>
      <u/>
      <sz val="11"/>
      <color theme="7" tint="-0.249977111117893"/>
      <name val="Calibri"/>
      <family val="2"/>
    </font>
  </fonts>
  <fills count="10">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0"/>
        <bgColor indexed="64"/>
      </patternFill>
    </fill>
    <fill>
      <patternFill patternType="solid">
        <fgColor theme="4"/>
        <bgColor theme="4"/>
      </patternFill>
    </fill>
    <fill>
      <patternFill patternType="solid">
        <fgColor theme="2" tint="-9.9978637043366805E-2"/>
        <bgColor indexed="64"/>
      </patternFill>
    </fill>
    <fill>
      <patternFill patternType="solid">
        <fgColor theme="2"/>
        <bgColor indexed="64"/>
      </patternFill>
    </fill>
    <fill>
      <patternFill patternType="solid">
        <fgColor rgb="FFFF4747"/>
        <bgColor indexed="64"/>
      </patternFill>
    </fill>
    <fill>
      <patternFill patternType="solid">
        <fgColor theme="0" tint="-0.14999847407452621"/>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9" fontId="3" fillId="0" borderId="0" applyFont="0" applyFill="0" applyBorder="0" applyAlignment="0" applyProtection="0"/>
  </cellStyleXfs>
  <cellXfs count="70">
    <xf numFmtId="0" fontId="0" fillId="0" borderId="0" xfId="0"/>
    <xf numFmtId="43" fontId="1" fillId="0" borderId="0" xfId="1" applyFont="1" applyBorder="1"/>
    <xf numFmtId="0" fontId="1" fillId="0" borderId="0" xfId="0" applyFont="1"/>
    <xf numFmtId="43" fontId="0" fillId="0" borderId="0" xfId="1" applyFont="1" applyBorder="1"/>
    <xf numFmtId="43" fontId="3" fillId="0" borderId="0" xfId="1" applyFont="1" applyBorder="1"/>
    <xf numFmtId="9" fontId="1" fillId="0" borderId="0" xfId="4" applyFont="1" applyBorder="1"/>
    <xf numFmtId="165" fontId="2" fillId="3" borderId="0" xfId="0" applyNumberFormat="1" applyFont="1" applyFill="1" applyAlignment="1">
      <alignment horizontal="center"/>
    </xf>
    <xf numFmtId="165" fontId="2" fillId="3" borderId="0" xfId="1" applyNumberFormat="1" applyFont="1" applyFill="1" applyBorder="1"/>
    <xf numFmtId="165" fontId="6" fillId="0" borderId="0" xfId="1" applyNumberFormat="1" applyFont="1" applyFill="1" applyBorder="1"/>
    <xf numFmtId="164" fontId="0" fillId="0" borderId="0" xfId="1" applyNumberFormat="1" applyFont="1" applyBorder="1"/>
    <xf numFmtId="165" fontId="7" fillId="4" borderId="0" xfId="0" applyNumberFormat="1" applyFont="1" applyFill="1" applyAlignment="1">
      <alignment horizontal="center"/>
    </xf>
    <xf numFmtId="166" fontId="0" fillId="0" borderId="0" xfId="0" applyNumberFormat="1"/>
    <xf numFmtId="164" fontId="0" fillId="0" borderId="0" xfId="0" applyNumberFormat="1"/>
    <xf numFmtId="0" fontId="2" fillId="5" borderId="0" xfId="0" applyFont="1" applyFill="1"/>
    <xf numFmtId="165" fontId="2" fillId="5" borderId="0" xfId="0" applyNumberFormat="1" applyFont="1" applyFill="1" applyAlignment="1">
      <alignment horizontal="center" wrapText="1"/>
    </xf>
    <xf numFmtId="0" fontId="2" fillId="5" borderId="0" xfId="0" applyFont="1" applyFill="1" applyAlignment="1">
      <alignment horizontal="center" wrapText="1"/>
    </xf>
    <xf numFmtId="38" fontId="1" fillId="0" borderId="0" xfId="0" applyNumberFormat="1" applyFont="1" applyAlignment="1">
      <alignment horizontal="center"/>
    </xf>
    <xf numFmtId="167" fontId="3" fillId="0" borderId="0" xfId="1" applyNumberFormat="1" applyFont="1" applyBorder="1"/>
    <xf numFmtId="167" fontId="1" fillId="0" borderId="0" xfId="1" applyNumberFormat="1" applyFont="1" applyBorder="1"/>
    <xf numFmtId="38" fontId="1" fillId="0" borderId="0" xfId="0" applyNumberFormat="1" applyFont="1"/>
    <xf numFmtId="9" fontId="0" fillId="0" borderId="0" xfId="4" applyFont="1" applyBorder="1"/>
    <xf numFmtId="38" fontId="3" fillId="0" borderId="0" xfId="1" applyNumberFormat="1" applyFont="1" applyBorder="1"/>
    <xf numFmtId="9" fontId="0" fillId="0" borderId="0" xfId="0" applyNumberFormat="1"/>
    <xf numFmtId="38" fontId="0" fillId="0" borderId="0" xfId="0" applyNumberFormat="1"/>
    <xf numFmtId="9" fontId="1" fillId="0" borderId="0" xfId="0" applyNumberFormat="1" applyFont="1"/>
    <xf numFmtId="168" fontId="3" fillId="0" borderId="0" xfId="1" applyNumberFormat="1" applyFont="1" applyBorder="1"/>
    <xf numFmtId="9" fontId="3" fillId="0" borderId="0" xfId="4" applyFont="1" applyBorder="1"/>
    <xf numFmtId="38" fontId="0" fillId="0" borderId="0" xfId="1" applyNumberFormat="1" applyFont="1" applyBorder="1"/>
    <xf numFmtId="169" fontId="1" fillId="0" borderId="0" xfId="1" applyNumberFormat="1" applyFont="1" applyFill="1" applyBorder="1"/>
    <xf numFmtId="168" fontId="3" fillId="0" borderId="0" xfId="1" applyNumberFormat="1" applyFont="1" applyFill="1" applyBorder="1"/>
    <xf numFmtId="169" fontId="0" fillId="0" borderId="0" xfId="1" applyNumberFormat="1" applyFont="1" applyBorder="1"/>
    <xf numFmtId="167" fontId="0" fillId="0" borderId="0" xfId="1" applyNumberFormat="1" applyFont="1" applyBorder="1"/>
    <xf numFmtId="170" fontId="3" fillId="0" borderId="0" xfId="4" applyNumberFormat="1" applyFont="1" applyBorder="1"/>
    <xf numFmtId="0" fontId="1" fillId="0" borderId="0" xfId="0" applyFont="1" applyAlignment="1">
      <alignment horizontal="center"/>
    </xf>
    <xf numFmtId="38" fontId="1" fillId="0" borderId="0" xfId="1" applyNumberFormat="1" applyFont="1" applyBorder="1"/>
    <xf numFmtId="9" fontId="1" fillId="0" borderId="0" xfId="0" applyNumberFormat="1" applyFont="1" applyAlignment="1">
      <alignment horizontal="center"/>
    </xf>
    <xf numFmtId="167" fontId="1" fillId="0" borderId="0" xfId="1" applyNumberFormat="1" applyFont="1" applyFill="1" applyBorder="1"/>
    <xf numFmtId="9" fontId="1" fillId="0" borderId="0" xfId="0" applyNumberFormat="1" applyFont="1" applyAlignment="1">
      <alignment horizontal="right"/>
    </xf>
    <xf numFmtId="167" fontId="1" fillId="0" borderId="0" xfId="0" applyNumberFormat="1" applyFont="1"/>
    <xf numFmtId="40" fontId="1" fillId="0" borderId="0" xfId="1" applyNumberFormat="1" applyFont="1" applyFill="1" applyBorder="1"/>
    <xf numFmtId="0" fontId="1" fillId="6" borderId="1" xfId="0" applyFont="1" applyFill="1" applyBorder="1"/>
    <xf numFmtId="1" fontId="0" fillId="0" borderId="0" xfId="0" applyNumberFormat="1"/>
    <xf numFmtId="169" fontId="3" fillId="0" borderId="0" xfId="1" applyNumberFormat="1" applyFont="1" applyBorder="1"/>
    <xf numFmtId="171" fontId="1" fillId="0" borderId="0" xfId="0" applyNumberFormat="1" applyFont="1"/>
    <xf numFmtId="170" fontId="1" fillId="7" borderId="0" xfId="0" applyNumberFormat="1" applyFont="1" applyFill="1"/>
    <xf numFmtId="40" fontId="1" fillId="0" borderId="0" xfId="0" applyNumberFormat="1" applyFont="1"/>
    <xf numFmtId="171" fontId="0" fillId="0" borderId="0" xfId="0" applyNumberFormat="1"/>
    <xf numFmtId="2" fontId="1" fillId="0" borderId="0" xfId="0" applyNumberFormat="1" applyFont="1"/>
    <xf numFmtId="0" fontId="0" fillId="0" borderId="0" xfId="0" applyAlignment="1">
      <alignment vertical="center"/>
    </xf>
    <xf numFmtId="0" fontId="0" fillId="0" borderId="0" xfId="0" applyAlignment="1">
      <alignment wrapText="1"/>
    </xf>
    <xf numFmtId="0" fontId="1" fillId="0" borderId="0" xfId="0" applyFont="1" applyAlignment="1">
      <alignment vertical="center"/>
    </xf>
    <xf numFmtId="0" fontId="5" fillId="8" borderId="0" xfId="0" applyFont="1" applyFill="1" applyAlignment="1">
      <alignment wrapText="1"/>
    </xf>
    <xf numFmtId="0" fontId="9" fillId="0" borderId="0" xfId="0" applyFont="1" applyAlignment="1">
      <alignment vertical="center"/>
    </xf>
    <xf numFmtId="0" fontId="1" fillId="0" borderId="0" xfId="0" applyFont="1" applyAlignment="1">
      <alignment wrapText="1"/>
    </xf>
    <xf numFmtId="0" fontId="1" fillId="9" borderId="0" xfId="0" applyFont="1" applyFill="1" applyAlignment="1">
      <alignment horizontal="center"/>
    </xf>
    <xf numFmtId="0" fontId="1" fillId="9" borderId="0" xfId="0" applyFont="1" applyFill="1" applyAlignment="1">
      <alignment horizontal="center" wrapText="1"/>
    </xf>
    <xf numFmtId="0" fontId="0" fillId="9" borderId="0" xfId="0" applyFill="1"/>
    <xf numFmtId="171" fontId="0" fillId="0" borderId="0" xfId="0" quotePrefix="1" applyNumberFormat="1" applyAlignment="1">
      <alignment horizontal="center" vertical="center"/>
    </xf>
    <xf numFmtId="0" fontId="0" fillId="0" borderId="0" xfId="0" applyAlignment="1">
      <alignment horizontal="center"/>
    </xf>
    <xf numFmtId="9" fontId="1" fillId="0" borderId="0" xfId="0" applyNumberFormat="1" applyFont="1" applyAlignment="1">
      <alignment horizontal="left"/>
    </xf>
    <xf numFmtId="0" fontId="1" fillId="0" borderId="0" xfId="0" applyFont="1" applyAlignment="1">
      <alignment horizontal="right"/>
    </xf>
    <xf numFmtId="38" fontId="1" fillId="0" borderId="0" xfId="0" applyNumberFormat="1" applyFont="1" applyAlignment="1">
      <alignment horizontal="left"/>
    </xf>
    <xf numFmtId="167" fontId="0" fillId="0" borderId="0" xfId="0" applyNumberFormat="1"/>
    <xf numFmtId="167" fontId="3" fillId="0" borderId="0" xfId="1" applyNumberFormat="1" applyFont="1" applyFill="1" applyBorder="1"/>
    <xf numFmtId="9" fontId="0" fillId="0" borderId="0" xfId="0" applyNumberFormat="1" applyAlignment="1">
      <alignment horizontal="left"/>
    </xf>
    <xf numFmtId="38" fontId="1" fillId="0" borderId="0" xfId="0" applyNumberFormat="1" applyFont="1" applyAlignment="1">
      <alignment horizontal="right"/>
    </xf>
    <xf numFmtId="0" fontId="12" fillId="0" borderId="0" xfId="2" applyFont="1" applyBorder="1" applyAlignment="1" applyProtection="1">
      <alignment horizontal="left" wrapText="1"/>
    </xf>
    <xf numFmtId="0" fontId="8" fillId="8" borderId="0" xfId="0" applyFont="1" applyFill="1" applyAlignment="1">
      <alignment horizontal="center"/>
    </xf>
    <xf numFmtId="43" fontId="4" fillId="0" borderId="0" xfId="2" applyNumberFormat="1" applyBorder="1" applyAlignment="1" applyProtection="1">
      <alignment horizontal="center"/>
    </xf>
    <xf numFmtId="43" fontId="2" fillId="2" borderId="0" xfId="3" applyNumberFormat="1" applyFont="1" applyBorder="1" applyAlignment="1">
      <alignment horizontal="center"/>
    </xf>
  </cellXfs>
  <cellStyles count="5">
    <cellStyle name="Accent6" xfId="3" builtinId="49"/>
    <cellStyle name="Comma" xfId="1" builtinId="3"/>
    <cellStyle name="Hyperlink" xfId="2" builtinId="8"/>
    <cellStyle name="Normal" xfId="0" builtinId="0"/>
    <cellStyle name="Percent" xfId="4" builtinId="5"/>
  </cellStyles>
  <dxfs count="95">
    <dxf>
      <font>
        <b/>
        <i val="0"/>
        <color theme="0"/>
      </font>
      <fill>
        <patternFill>
          <bgColor theme="5"/>
        </patternFill>
      </fill>
    </dxf>
    <dxf>
      <font>
        <color auto="1"/>
      </font>
      <fill>
        <patternFill>
          <bgColor rgb="FFE4F8E8"/>
        </patternFill>
      </fill>
    </dxf>
    <dxf>
      <font>
        <color auto="1"/>
      </font>
      <fill>
        <patternFill>
          <bgColor rgb="FFFDF0E9"/>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patternType="solid">
          <bgColor rgb="FFAFDC7E"/>
        </patternFill>
      </fill>
    </dxf>
    <dxf>
      <fill>
        <patternFill>
          <bgColor rgb="FFFFC7CE"/>
        </patternFill>
      </fill>
    </dxf>
    <dxf>
      <font>
        <color auto="1"/>
      </font>
      <fill>
        <patternFill>
          <bgColor rgb="FFE4F8E8"/>
        </patternFill>
      </fill>
    </dxf>
    <dxf>
      <font>
        <color auto="1"/>
      </font>
      <fill>
        <patternFill>
          <bgColor rgb="FFFDF0E9"/>
        </patternFill>
      </fill>
    </dxf>
    <dxf>
      <font>
        <color auto="1"/>
      </font>
      <fill>
        <patternFill>
          <bgColor rgb="FFE4F8E8"/>
        </patternFill>
      </fill>
    </dxf>
    <dxf>
      <font>
        <color auto="1"/>
      </font>
      <fill>
        <patternFill>
          <bgColor rgb="FFFDF0E9"/>
        </patternFill>
      </fill>
    </dxf>
    <dxf>
      <fill>
        <patternFill>
          <bgColor rgb="FF92D050"/>
        </patternFill>
      </fill>
    </dxf>
    <dxf>
      <font>
        <color auto="1"/>
      </font>
      <fill>
        <patternFill>
          <bgColor rgb="FFE4F8E8"/>
        </patternFill>
      </fill>
    </dxf>
    <dxf>
      <font>
        <color auto="1"/>
      </font>
      <fill>
        <patternFill>
          <bgColor rgb="FFFDF0E9"/>
        </patternFill>
      </fill>
    </dxf>
    <dxf>
      <fill>
        <patternFill>
          <bgColor rgb="FFFFEFF1"/>
        </patternFill>
      </fill>
    </dxf>
    <dxf>
      <fill>
        <patternFill>
          <bgColor rgb="FFF2F9EB"/>
        </patternFill>
      </fill>
    </dxf>
    <dxf>
      <fill>
        <patternFill>
          <bgColor rgb="FFEDF7E1"/>
        </patternFill>
      </fill>
    </dxf>
    <dxf>
      <fill>
        <patternFill>
          <bgColor rgb="FFFFF7F8"/>
        </patternFill>
      </fill>
    </dxf>
    <dxf>
      <fill>
        <patternFill>
          <bgColor rgb="FFF0F9E7"/>
        </patternFill>
      </fill>
    </dxf>
    <dxf>
      <fill>
        <patternFill>
          <bgColor rgb="FFFFF3F4"/>
        </patternFill>
      </fill>
    </dxf>
    <dxf>
      <font>
        <color rgb="FF9C0006"/>
      </font>
      <fill>
        <patternFill>
          <bgColor rgb="FFFFC7CE"/>
        </patternFill>
      </fill>
    </dxf>
    <dxf>
      <fill>
        <patternFill patternType="solid">
          <bgColor rgb="FFAFDC7E"/>
        </patternFill>
      </fill>
    </dxf>
    <dxf>
      <fill>
        <patternFill>
          <bgColor rgb="FFAFDC7E"/>
        </patternFill>
      </fill>
    </dxf>
    <dxf>
      <fill>
        <patternFill>
          <bgColor rgb="FFFFC7CE"/>
        </patternFill>
      </fill>
    </dxf>
    <dxf>
      <fill>
        <patternFill>
          <bgColor rgb="FFAFDC7E"/>
        </patternFill>
      </fill>
    </dxf>
    <dxf>
      <fill>
        <patternFill>
          <bgColor rgb="FFFFC7CE"/>
        </patternFill>
      </fill>
    </dxf>
    <dxf>
      <fill>
        <patternFill>
          <bgColor rgb="FFAFDC7E"/>
        </patternFill>
      </fill>
    </dxf>
    <dxf>
      <fill>
        <patternFill>
          <bgColor rgb="FFFFC7CE"/>
        </patternFill>
      </fill>
    </dxf>
    <dxf>
      <fill>
        <patternFill>
          <bgColor rgb="FFE4F8E8"/>
        </patternFill>
      </fill>
    </dxf>
    <dxf>
      <fill>
        <patternFill>
          <bgColor rgb="FFFDF0E9"/>
        </patternFill>
      </fill>
    </dxf>
    <dxf>
      <fill>
        <patternFill>
          <bgColor rgb="FFE4F8E8"/>
        </patternFill>
      </fill>
    </dxf>
    <dxf>
      <fill>
        <patternFill>
          <bgColor rgb="FFFDF0E9"/>
        </patternFill>
      </fill>
    </dxf>
    <dxf>
      <fill>
        <patternFill>
          <bgColor rgb="FFE4F8E8"/>
        </patternFill>
      </fill>
    </dxf>
    <dxf>
      <fill>
        <patternFill>
          <bgColor rgb="FFFDF0E9"/>
        </patternFill>
      </fill>
    </dxf>
    <dxf>
      <fill>
        <patternFill>
          <bgColor rgb="FFE4F8E8"/>
        </patternFill>
      </fill>
    </dxf>
    <dxf>
      <fill>
        <patternFill>
          <bgColor rgb="FFFDF0E9"/>
        </patternFill>
      </fill>
    </dxf>
    <dxf>
      <fill>
        <patternFill>
          <bgColor rgb="FFE4F8E8"/>
        </patternFill>
      </fill>
    </dxf>
    <dxf>
      <fill>
        <patternFill>
          <bgColor rgb="FFFDF0E9"/>
        </patternFill>
      </fill>
    </dxf>
    <dxf>
      <fill>
        <patternFill>
          <bgColor rgb="FFE4F8E8"/>
        </patternFill>
      </fill>
    </dxf>
    <dxf>
      <fill>
        <patternFill>
          <bgColor rgb="FFFDF0E9"/>
        </patternFill>
      </fill>
    </dxf>
    <dxf>
      <fill>
        <patternFill>
          <bgColor rgb="FFE4F8E8"/>
        </patternFill>
      </fill>
    </dxf>
    <dxf>
      <fill>
        <patternFill>
          <bgColor rgb="FFFDF0E9"/>
        </patternFill>
      </fill>
    </dxf>
    <dxf>
      <fill>
        <patternFill>
          <bgColor rgb="FFEEF8E4"/>
        </patternFill>
      </fill>
    </dxf>
    <dxf>
      <fill>
        <patternFill>
          <bgColor rgb="FFFFEBED"/>
        </patternFill>
      </fill>
    </dxf>
    <dxf>
      <font>
        <color auto="1"/>
      </font>
      <fill>
        <patternFill>
          <bgColor rgb="FFFFC7CE"/>
        </patternFill>
      </fill>
    </dxf>
    <dxf>
      <font>
        <color auto="1"/>
      </font>
      <fill>
        <patternFill>
          <bgColor rgb="FFC6EFCE"/>
        </patternFill>
      </fill>
    </dxf>
    <dxf>
      <fill>
        <patternFill>
          <bgColor rgb="FFFFC7CE"/>
        </patternFill>
      </fill>
    </dxf>
    <dxf>
      <font>
        <color auto="1"/>
      </font>
      <fill>
        <patternFill>
          <bgColor rgb="FFE4F8E8"/>
        </patternFill>
      </fill>
    </dxf>
    <dxf>
      <font>
        <color auto="1"/>
      </font>
      <fill>
        <patternFill>
          <bgColor rgb="FFFDF0E9"/>
        </patternFill>
      </fill>
    </dxf>
    <dxf>
      <font>
        <color auto="1"/>
      </font>
      <fill>
        <patternFill>
          <bgColor rgb="FFEBF9EE"/>
        </patternFill>
      </fill>
    </dxf>
    <dxf>
      <font>
        <color auto="1"/>
      </font>
      <fill>
        <patternFill>
          <bgColor rgb="FFFFEFEF"/>
        </patternFill>
      </fill>
    </dxf>
    <dxf>
      <font>
        <color auto="1"/>
      </font>
      <fill>
        <patternFill>
          <bgColor rgb="FFE4F8E8"/>
        </patternFill>
      </fill>
    </dxf>
    <dxf>
      <font>
        <color auto="1"/>
      </font>
      <fill>
        <patternFill>
          <bgColor rgb="FFFDF0E9"/>
        </patternFill>
      </fill>
    </dxf>
    <dxf>
      <font>
        <color auto="1"/>
      </font>
      <fill>
        <patternFill>
          <bgColor rgb="FFE4F8E8"/>
        </patternFill>
      </fill>
    </dxf>
    <dxf>
      <font>
        <color auto="1"/>
      </font>
      <fill>
        <patternFill>
          <bgColor rgb="FFFDF0E9"/>
        </patternFill>
      </fill>
    </dxf>
    <dxf>
      <font>
        <color rgb="FF9C0006"/>
      </font>
      <fill>
        <patternFill>
          <bgColor rgb="FFFFC7CE"/>
        </patternFill>
      </fill>
    </dxf>
    <dxf>
      <font>
        <color auto="1"/>
      </font>
      <fill>
        <patternFill>
          <bgColor rgb="FFAFDC7E"/>
        </patternFill>
      </fill>
    </dxf>
    <dxf>
      <font>
        <color auto="1"/>
      </font>
      <fill>
        <patternFill>
          <bgColor rgb="FFEBF9EE"/>
        </patternFill>
      </fill>
    </dxf>
    <dxf>
      <font>
        <color auto="1"/>
      </font>
      <fill>
        <patternFill>
          <bgColor rgb="FFFFEFEF"/>
        </patternFill>
      </fill>
    </dxf>
    <dxf>
      <font>
        <color auto="1"/>
      </font>
      <fill>
        <patternFill>
          <bgColor rgb="FFC6EFCE"/>
        </patternFill>
      </fill>
    </dxf>
    <dxf>
      <font>
        <color auto="1"/>
      </font>
      <fill>
        <patternFill>
          <bgColor rgb="FFFFC7CE"/>
        </patternFill>
      </fill>
    </dxf>
    <dxf>
      <font>
        <color rgb="FF9C0006"/>
      </font>
      <fill>
        <patternFill>
          <bgColor rgb="FFFFC7CE"/>
        </patternFill>
      </fill>
    </dxf>
    <dxf>
      <font>
        <color auto="1"/>
      </font>
      <fill>
        <patternFill>
          <bgColor rgb="FFEBF9EE"/>
        </patternFill>
      </fill>
    </dxf>
    <dxf>
      <font>
        <color auto="1"/>
      </font>
      <fill>
        <patternFill>
          <bgColor rgb="FFFFEFEF"/>
        </patternFill>
      </fill>
    </dxf>
    <dxf>
      <font>
        <color auto="1"/>
      </font>
      <fill>
        <patternFill>
          <bgColor rgb="FFC6EFCE"/>
        </patternFill>
      </fill>
    </dxf>
    <dxf>
      <font>
        <color auto="1"/>
      </font>
      <fill>
        <patternFill>
          <bgColor rgb="FFFFC7CE"/>
        </patternFill>
      </fill>
    </dxf>
    <dxf>
      <font>
        <color auto="1"/>
      </font>
      <fill>
        <patternFill>
          <bgColor rgb="FFE4F8E8"/>
        </patternFill>
      </fill>
    </dxf>
    <dxf>
      <font>
        <color auto="1"/>
      </font>
      <fill>
        <patternFill>
          <bgColor rgb="FFFDF0E9"/>
        </patternFill>
      </fill>
    </dxf>
    <dxf>
      <font>
        <color auto="1"/>
      </font>
      <fill>
        <patternFill>
          <bgColor rgb="FFE4F8E8"/>
        </patternFill>
      </fill>
    </dxf>
    <dxf>
      <font>
        <color auto="1"/>
      </font>
      <fill>
        <patternFill>
          <bgColor rgb="FFFDF0E9"/>
        </patternFill>
      </fill>
    </dxf>
    <dxf>
      <font>
        <color auto="1"/>
      </font>
      <fill>
        <patternFill>
          <bgColor rgb="FFE4F8E8"/>
        </patternFill>
      </fill>
    </dxf>
    <dxf>
      <font>
        <color auto="1"/>
      </font>
      <fill>
        <patternFill>
          <bgColor rgb="FFFDF0E9"/>
        </patternFill>
      </fill>
    </dxf>
    <dxf>
      <font>
        <color auto="1"/>
      </font>
      <fill>
        <patternFill>
          <bgColor rgb="FFE4F8E8"/>
        </patternFill>
      </fill>
    </dxf>
    <dxf>
      <font>
        <color auto="1"/>
      </font>
      <fill>
        <patternFill>
          <bgColor rgb="FFFDF0E9"/>
        </patternFill>
      </fill>
    </dxf>
    <dxf>
      <font>
        <color auto="1"/>
      </font>
      <fill>
        <patternFill>
          <bgColor rgb="FFE4F8E8"/>
        </patternFill>
      </fill>
    </dxf>
    <dxf>
      <font>
        <color auto="1"/>
      </font>
      <fill>
        <patternFill>
          <bgColor rgb="FFFDF0E9"/>
        </patternFill>
      </fill>
    </dxf>
    <dxf>
      <font>
        <color auto="1"/>
      </font>
      <fill>
        <patternFill>
          <bgColor rgb="FFE4F8E8"/>
        </patternFill>
      </fill>
    </dxf>
    <dxf>
      <font>
        <color auto="1"/>
      </font>
      <fill>
        <patternFill>
          <bgColor rgb="FFFDF0E9"/>
        </patternFill>
      </fill>
    </dxf>
    <dxf>
      <font>
        <color auto="1"/>
      </font>
      <fill>
        <patternFill>
          <bgColor rgb="FFE4F8E8"/>
        </patternFill>
      </fill>
    </dxf>
    <dxf>
      <font>
        <color auto="1"/>
      </font>
      <fill>
        <patternFill>
          <bgColor rgb="FFFDF0E9"/>
        </patternFill>
      </fill>
    </dxf>
    <dxf>
      <font>
        <color auto="1"/>
      </font>
      <fill>
        <patternFill>
          <bgColor rgb="FFE4F8E8"/>
        </patternFill>
      </fill>
    </dxf>
    <dxf>
      <font>
        <color auto="1"/>
      </font>
      <fill>
        <patternFill>
          <bgColor rgb="FFFDF0E9"/>
        </patternFill>
      </fill>
    </dxf>
    <dxf>
      <font>
        <color auto="1"/>
      </font>
      <fill>
        <patternFill>
          <bgColor rgb="FFE4F8E8"/>
        </patternFill>
      </fill>
    </dxf>
    <dxf>
      <font>
        <color auto="1"/>
      </font>
      <fill>
        <patternFill>
          <bgColor rgb="FFFDF0E9"/>
        </patternFill>
      </fill>
    </dxf>
    <dxf>
      <font>
        <color auto="1"/>
      </font>
      <fill>
        <patternFill>
          <bgColor rgb="FFFFC7CE"/>
        </patternFill>
      </fill>
    </dxf>
    <dxf>
      <font>
        <color auto="1"/>
      </font>
      <fill>
        <patternFill>
          <bgColor rgb="FFC6EFCE"/>
        </patternFill>
      </fill>
    </dxf>
    <dxf>
      <font>
        <color auto="1"/>
      </font>
      <fill>
        <patternFill>
          <bgColor rgb="FFEBF9EE"/>
        </patternFill>
      </fill>
    </dxf>
    <dxf>
      <font>
        <color auto="1"/>
      </font>
      <fill>
        <patternFill>
          <bgColor rgb="FFFFEFEF"/>
        </patternFill>
      </fill>
    </dxf>
    <dxf>
      <font>
        <color auto="1"/>
      </font>
      <fill>
        <patternFill>
          <bgColor rgb="FFC6EFCE"/>
        </patternFill>
      </fill>
    </dxf>
    <dxf>
      <font>
        <color auto="1"/>
      </font>
      <fill>
        <patternFill>
          <bgColor rgb="FFFFC7CE"/>
        </patternFill>
      </fill>
    </dxf>
    <dxf>
      <font>
        <color auto="1"/>
      </font>
      <fill>
        <patternFill>
          <bgColor rgb="FFE4F8E8"/>
        </patternFill>
      </fill>
    </dxf>
    <dxf>
      <font>
        <color auto="1"/>
      </font>
      <fill>
        <patternFill>
          <bgColor rgb="FFFDF0E9"/>
        </patternFill>
      </fill>
    </dxf>
    <dxf>
      <font>
        <color auto="1"/>
      </font>
      <fill>
        <patternFill>
          <bgColor rgb="FFE4F8E8"/>
        </patternFill>
      </fill>
    </dxf>
    <dxf>
      <font>
        <color auto="1"/>
      </font>
      <fill>
        <patternFill>
          <bgColor rgb="FFFDF0E9"/>
        </patternFill>
      </fill>
    </dxf>
  </dxfs>
  <tableStyles count="0" defaultTableStyle="TableStyleMedium9" defaultPivotStyle="PivotStyleLight16"/>
  <colors>
    <mruColors>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drvijaymalik.com/how-to-use-screener-in-export-to-excel-feature-tool/" TargetMode="External"/><Relationship Id="rId1" Type="http://schemas.openxmlformats.org/officeDocument/2006/relationships/hyperlink" Target="http://www.screener.in/excel/"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workbookViewId="0">
      <pane ySplit="1" topLeftCell="A2" activePane="bottomLeft" state="frozen"/>
      <selection pane="bottomLeft" activeCell="B8" sqref="B8"/>
    </sheetView>
  </sheetViews>
  <sheetFormatPr defaultRowHeight="15" x14ac:dyDescent="0.25"/>
  <cols>
    <col min="1" max="1" width="9.140625" style="48"/>
    <col min="2" max="2" width="156" style="49" customWidth="1"/>
  </cols>
  <sheetData>
    <row r="1" spans="1:2" ht="21" x14ac:dyDescent="0.35">
      <c r="A1" s="67" t="s">
        <v>124</v>
      </c>
      <c r="B1" s="67"/>
    </row>
    <row r="3" spans="1:2" x14ac:dyDescent="0.25">
      <c r="A3" s="50" t="s">
        <v>125</v>
      </c>
    </row>
    <row r="4" spans="1:2" ht="90" x14ac:dyDescent="0.25">
      <c r="A4" s="48">
        <v>1</v>
      </c>
      <c r="B4" s="51" t="s">
        <v>126</v>
      </c>
    </row>
    <row r="5" spans="1:2" ht="30" x14ac:dyDescent="0.25">
      <c r="A5" s="48">
        <v>2</v>
      </c>
      <c r="B5" s="49" t="s">
        <v>159</v>
      </c>
    </row>
    <row r="6" spans="1:2" x14ac:dyDescent="0.25">
      <c r="A6" s="48">
        <v>3</v>
      </c>
      <c r="B6" s="49" t="s">
        <v>138</v>
      </c>
    </row>
    <row r="8" spans="1:2" x14ac:dyDescent="0.25">
      <c r="A8" s="50" t="s">
        <v>127</v>
      </c>
    </row>
    <row r="9" spans="1:2" x14ac:dyDescent="0.25">
      <c r="A9" s="50"/>
      <c r="B9" s="49" t="s">
        <v>128</v>
      </c>
    </row>
    <row r="10" spans="1:2" x14ac:dyDescent="0.25">
      <c r="A10" s="50"/>
      <c r="B10" s="66" t="s">
        <v>178</v>
      </c>
    </row>
    <row r="11" spans="1:2" x14ac:dyDescent="0.25">
      <c r="A11" s="48">
        <v>1</v>
      </c>
      <c r="B11" s="49" t="s">
        <v>129</v>
      </c>
    </row>
    <row r="12" spans="1:2" x14ac:dyDescent="0.25">
      <c r="A12" s="48">
        <v>2</v>
      </c>
      <c r="B12" s="49" t="s">
        <v>130</v>
      </c>
    </row>
    <row r="13" spans="1:2" x14ac:dyDescent="0.25">
      <c r="A13" s="48">
        <v>3</v>
      </c>
      <c r="B13" s="49" t="s">
        <v>131</v>
      </c>
    </row>
    <row r="14" spans="1:2" x14ac:dyDescent="0.25">
      <c r="B14" s="66" t="s">
        <v>132</v>
      </c>
    </row>
    <row r="15" spans="1:2" ht="90" x14ac:dyDescent="0.25">
      <c r="B15" s="49" t="s">
        <v>133</v>
      </c>
    </row>
    <row r="16" spans="1:2" x14ac:dyDescent="0.25">
      <c r="A16" s="48">
        <v>4</v>
      </c>
      <c r="B16" s="49" t="s">
        <v>134</v>
      </c>
    </row>
    <row r="17" spans="1:2" ht="30" x14ac:dyDescent="0.25">
      <c r="A17" s="48">
        <v>5</v>
      </c>
      <c r="B17" s="49" t="s">
        <v>135</v>
      </c>
    </row>
    <row r="19" spans="1:2" x14ac:dyDescent="0.25">
      <c r="A19" s="52" t="s">
        <v>172</v>
      </c>
    </row>
    <row r="20" spans="1:2" ht="30" x14ac:dyDescent="0.25">
      <c r="A20" s="52" t="s">
        <v>174</v>
      </c>
      <c r="B20" s="53" t="s">
        <v>173</v>
      </c>
    </row>
    <row r="21" spans="1:2" ht="60" x14ac:dyDescent="0.25">
      <c r="B21" s="49" t="s">
        <v>136</v>
      </c>
    </row>
    <row r="22" spans="1:2" ht="30" x14ac:dyDescent="0.25">
      <c r="A22" s="52" t="s">
        <v>175</v>
      </c>
      <c r="B22" s="53" t="s">
        <v>176</v>
      </c>
    </row>
    <row r="23" spans="1:2" ht="195" x14ac:dyDescent="0.25">
      <c r="B23" s="49" t="s">
        <v>177</v>
      </c>
    </row>
    <row r="25" spans="1:2" x14ac:dyDescent="0.25">
      <c r="A25" s="50" t="s">
        <v>137</v>
      </c>
    </row>
    <row r="26" spans="1:2" ht="75" x14ac:dyDescent="0.25">
      <c r="B26" s="49" t="s">
        <v>171</v>
      </c>
    </row>
  </sheetData>
  <mergeCells count="1">
    <mergeCell ref="A1:B1"/>
  </mergeCells>
  <hyperlinks>
    <hyperlink ref="B14" r:id="rId1" display=" http://www.screener.in/excel" xr:uid="{00000000-0004-0000-0000-000000000000}"/>
    <hyperlink ref="B10" r:id="rId2" xr:uid="{00000000-0004-0000-0000-000001000000}"/>
  </hyperlinks>
  <pageMargins left="0.7" right="0.7" top="0.75" bottom="0.75" header="0.3" footer="0.3"/>
  <pageSetup orientation="portrait" horizontalDpi="300" verticalDpi="300"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76"/>
  <sheetViews>
    <sheetView tabSelected="1" zoomScaleNormal="100" workbookViewId="0">
      <pane xSplit="1" ySplit="2" topLeftCell="B3" activePane="bottomRight" state="frozen"/>
      <selection pane="topRight" activeCell="B1" sqref="B1"/>
      <selection pane="bottomLeft" activeCell="A3" sqref="A3"/>
      <selection pane="bottomRight" activeCell="R44" sqref="R44"/>
    </sheetView>
  </sheetViews>
  <sheetFormatPr defaultRowHeight="15" x14ac:dyDescent="0.25"/>
  <cols>
    <col min="1" max="1" width="32.85546875" customWidth="1"/>
    <col min="2" max="11" width="8.42578125" customWidth="1"/>
    <col min="12" max="12" width="17.85546875" customWidth="1"/>
    <col min="13" max="14" width="10" customWidth="1"/>
    <col min="15" max="15" width="9.7109375" customWidth="1"/>
    <col min="16" max="17" width="5.7109375" customWidth="1"/>
    <col min="18" max="18" width="5.42578125" customWidth="1"/>
    <col min="19" max="19" width="5.7109375" customWidth="1"/>
  </cols>
  <sheetData>
    <row r="1" spans="1:25" x14ac:dyDescent="0.25">
      <c r="A1" s="2" t="s">
        <v>58</v>
      </c>
      <c r="D1" s="2" t="str">
        <f>+'Data Sheet'!B1</f>
        <v>HESTER BIOSCIENCES LTD</v>
      </c>
      <c r="L1" s="10">
        <f>+'Data Sheet'!K41</f>
        <v>0</v>
      </c>
      <c r="M1" t="s">
        <v>59</v>
      </c>
      <c r="Q1" s="11"/>
      <c r="R1" s="12"/>
    </row>
    <row r="2" spans="1:25" s="2" customFormat="1" ht="15.75" customHeight="1" x14ac:dyDescent="0.25">
      <c r="A2" s="13" t="s">
        <v>1</v>
      </c>
      <c r="B2" s="14">
        <f>+'Data Sheet'!B16</f>
        <v>0</v>
      </c>
      <c r="C2" s="14">
        <f>+'Data Sheet'!C16</f>
        <v>0</v>
      </c>
      <c r="D2" s="14">
        <f>+'Data Sheet'!D16</f>
        <v>0</v>
      </c>
      <c r="E2" s="14">
        <f>+'Data Sheet'!E16</f>
        <v>0</v>
      </c>
      <c r="F2" s="14">
        <f>+'Data Sheet'!F16</f>
        <v>0</v>
      </c>
      <c r="G2" s="14">
        <f>+'Data Sheet'!G16</f>
        <v>0</v>
      </c>
      <c r="H2" s="14">
        <f>+'Data Sheet'!H16</f>
        <v>0</v>
      </c>
      <c r="I2" s="14">
        <f>+'Data Sheet'!I16</f>
        <v>0</v>
      </c>
      <c r="J2" s="14">
        <f>+'Data Sheet'!J16</f>
        <v>0</v>
      </c>
      <c r="K2" s="14">
        <f>+'Data Sheet'!K16</f>
        <v>0</v>
      </c>
      <c r="L2" s="15" t="s">
        <v>60</v>
      </c>
      <c r="M2" s="15" t="s">
        <v>160</v>
      </c>
      <c r="N2" s="16" t="s">
        <v>13</v>
      </c>
      <c r="O2" s="16" t="s">
        <v>61</v>
      </c>
      <c r="P2" s="16" t="s">
        <v>62</v>
      </c>
      <c r="Q2" s="16" t="s">
        <v>63</v>
      </c>
      <c r="R2" s="16" t="s">
        <v>64</v>
      </c>
      <c r="S2" s="16" t="s">
        <v>65</v>
      </c>
    </row>
    <row r="3" spans="1:25" s="2" customFormat="1" x14ac:dyDescent="0.25">
      <c r="A3" t="s">
        <v>2</v>
      </c>
      <c r="B3" s="17">
        <f>+'Data Sheet'!B17</f>
        <v>0</v>
      </c>
      <c r="C3" s="17">
        <f>+'Data Sheet'!C17</f>
        <v>0</v>
      </c>
      <c r="D3" s="17">
        <f>+'Data Sheet'!D17</f>
        <v>0</v>
      </c>
      <c r="E3" s="17">
        <f>+'Data Sheet'!E17</f>
        <v>0</v>
      </c>
      <c r="F3" s="17">
        <f>+'Data Sheet'!F17</f>
        <v>0</v>
      </c>
      <c r="G3" s="17">
        <f>+'Data Sheet'!G17</f>
        <v>0</v>
      </c>
      <c r="H3" s="17">
        <f>+'Data Sheet'!H17</f>
        <v>0</v>
      </c>
      <c r="I3" s="17">
        <f>+'Data Sheet'!I17</f>
        <v>0</v>
      </c>
      <c r="J3" s="17">
        <f>+'Data Sheet'!J17</f>
        <v>0</v>
      </c>
      <c r="K3" s="17">
        <f>+'Data Sheet'!K17</f>
        <v>0</v>
      </c>
      <c r="L3" s="17" t="str">
        <f>IF(N68=TRUE,"",SUM('Data Sheet'!H42:K42))</f>
        <v/>
      </c>
      <c r="M3" s="18"/>
      <c r="N3" s="19" t="s">
        <v>161</v>
      </c>
      <c r="O3" s="20" t="str">
        <f>IF(B3=0,"",POWER($K3/B3,1/9)-1)</f>
        <v/>
      </c>
      <c r="P3" s="20" t="str">
        <f>IF(D3=0,"",POWER($K3/D3,1/7)-1)</f>
        <v/>
      </c>
      <c r="Q3" s="20" t="str">
        <f>IF(F3=0,"",POWER($K3/F3,1/5)-1)</f>
        <v/>
      </c>
      <c r="R3" s="20" t="str">
        <f>IF(H3=0,"",POWER($K3/H3, 1/3)-1)</f>
        <v/>
      </c>
      <c r="S3" s="20" t="str">
        <f>IF(N68=TRUE,"",L3/K3-1)</f>
        <v/>
      </c>
      <c r="T3" s="19"/>
      <c r="U3" s="19"/>
      <c r="V3" s="19"/>
      <c r="W3" s="19"/>
      <c r="X3" s="19"/>
      <c r="Y3" s="19"/>
    </row>
    <row r="4" spans="1:25" x14ac:dyDescent="0.25">
      <c r="A4" t="s">
        <v>4</v>
      </c>
      <c r="B4" s="21">
        <f>+'Data Sheet'!B17-'Data Sheet'!B18+'Data Sheet'!B19-SUM('Data Sheet'!B20:B24)</f>
        <v>0</v>
      </c>
      <c r="C4" s="21">
        <f>+'Data Sheet'!C17-'Data Sheet'!C18+'Data Sheet'!C19-SUM('Data Sheet'!C20:C24)</f>
        <v>0</v>
      </c>
      <c r="D4" s="21">
        <f>+'Data Sheet'!D17-'Data Sheet'!D18+'Data Sheet'!D19-SUM('Data Sheet'!D20:D24)</f>
        <v>0</v>
      </c>
      <c r="E4" s="21">
        <f>+'Data Sheet'!E17-'Data Sheet'!E18+'Data Sheet'!E19-SUM('Data Sheet'!E20:E24)</f>
        <v>0</v>
      </c>
      <c r="F4" s="21">
        <f>+'Data Sheet'!F17-'Data Sheet'!F18+'Data Sheet'!F19-SUM('Data Sheet'!F20:F24)</f>
        <v>0</v>
      </c>
      <c r="G4" s="21">
        <f>+'Data Sheet'!G17-'Data Sheet'!G18+'Data Sheet'!G19-SUM('Data Sheet'!G20:G24)</f>
        <v>0</v>
      </c>
      <c r="H4" s="21">
        <f>+'Data Sheet'!H17-'Data Sheet'!H18+'Data Sheet'!H19-SUM('Data Sheet'!H20:H24)</f>
        <v>0</v>
      </c>
      <c r="I4" s="21">
        <f>+'Data Sheet'!I17-'Data Sheet'!I18+'Data Sheet'!I19-SUM('Data Sheet'!I20:I24)</f>
        <v>0</v>
      </c>
      <c r="J4" s="21">
        <f>+'Data Sheet'!J17-'Data Sheet'!J18+'Data Sheet'!J19-SUM('Data Sheet'!J20:J24)</f>
        <v>0</v>
      </c>
      <c r="K4" s="21">
        <f>+'Data Sheet'!K17-'Data Sheet'!K18+'Data Sheet'!K19-SUM('Data Sheet'!K20:K24)</f>
        <v>0</v>
      </c>
      <c r="L4" s="21" t="str">
        <f>+IF(N68=TRUE,"",SUM('Data Sheet'!H50:K50))</f>
        <v/>
      </c>
      <c r="M4" s="18"/>
      <c r="N4" s="19" t="s">
        <v>12</v>
      </c>
      <c r="O4" s="20" t="str">
        <f>IF(SUM(B3:$K$3)=0,"",SUMPRODUCT(B5:$K$5,B3:$K$3)/SUM(B3:$K$3))</f>
        <v/>
      </c>
      <c r="P4" s="20" t="str">
        <f>IF(SUM(E3:$K$3)=0,"",SUMPRODUCT(E5:$K$5,E3:$K$3)/SUM(E3:$K$3))</f>
        <v/>
      </c>
      <c r="Q4" s="20" t="str">
        <f>IF(SUM(G3:$K$3)=0,"",SUMPRODUCT(G5:$K$5,G3:$K$3)/SUM(G3:$K$3))</f>
        <v/>
      </c>
      <c r="R4" s="20" t="str">
        <f>IF(SUM(I3:$K$3)=0, "", SUMPRODUCT(I5:$K$5,I3:$K$3)/SUM(I3:$K$3))</f>
        <v/>
      </c>
      <c r="S4" s="22" t="str">
        <f>IF(N68=TRUE,"",L5)</f>
        <v/>
      </c>
      <c r="T4" s="23"/>
      <c r="U4" s="23"/>
      <c r="V4" s="23"/>
      <c r="W4" s="23"/>
      <c r="X4" s="23"/>
      <c r="Y4" s="23"/>
    </row>
    <row r="5" spans="1:25" s="2" customFormat="1" x14ac:dyDescent="0.25">
      <c r="A5" s="2" t="s">
        <v>66</v>
      </c>
      <c r="B5" s="24">
        <f t="shared" ref="B5:K5" si="0">IF(B4&gt;0,B4/B3,0)</f>
        <v>0</v>
      </c>
      <c r="C5" s="24">
        <f t="shared" si="0"/>
        <v>0</v>
      </c>
      <c r="D5" s="24">
        <f t="shared" si="0"/>
        <v>0</v>
      </c>
      <c r="E5" s="24">
        <f t="shared" si="0"/>
        <v>0</v>
      </c>
      <c r="F5" s="24">
        <f t="shared" si="0"/>
        <v>0</v>
      </c>
      <c r="G5" s="24">
        <f t="shared" si="0"/>
        <v>0</v>
      </c>
      <c r="H5" s="24">
        <f t="shared" si="0"/>
        <v>0</v>
      </c>
      <c r="I5" s="24">
        <f t="shared" si="0"/>
        <v>0</v>
      </c>
      <c r="J5" s="24">
        <f t="shared" si="0"/>
        <v>0</v>
      </c>
      <c r="K5" s="24">
        <f t="shared" si="0"/>
        <v>0</v>
      </c>
      <c r="L5" s="24" t="str">
        <f>+IF(N68=TRUE,"",IF(L4&gt;0,L4/L3,0))</f>
        <v/>
      </c>
      <c r="M5" s="18"/>
      <c r="N5" s="19" t="s">
        <v>162</v>
      </c>
      <c r="O5" s="20" t="str">
        <f>IF(B13=0,"",POWER($K13/B13,1/9)-1)</f>
        <v/>
      </c>
      <c r="P5" s="20" t="str">
        <f>IF(D13=0,"",POWER($K13/D13,1/7)-1)</f>
        <v/>
      </c>
      <c r="Q5" s="20" t="str">
        <f>IF(F13=0,"",POWER($K13/F13,1/5)-1)</f>
        <v/>
      </c>
      <c r="R5" s="20" t="str">
        <f>IF(H13=0,"",POWER($K13/H13, 1/3)-1)</f>
        <v/>
      </c>
      <c r="S5" s="20" t="str">
        <f>+IF(N68=TRUE,"",L13/K13-1)</f>
        <v/>
      </c>
      <c r="T5" s="19"/>
      <c r="U5" s="19"/>
      <c r="V5" s="19"/>
      <c r="W5" s="19"/>
      <c r="X5" s="19"/>
      <c r="Y5" s="19"/>
    </row>
    <row r="6" spans="1:25" s="2" customFormat="1" x14ac:dyDescent="0.25">
      <c r="A6" t="s">
        <v>5</v>
      </c>
      <c r="B6" s="21">
        <f>+'Data Sheet'!B25</f>
        <v>0</v>
      </c>
      <c r="C6" s="21">
        <f>+'Data Sheet'!C25</f>
        <v>0</v>
      </c>
      <c r="D6" s="21">
        <f>+'Data Sheet'!D25</f>
        <v>0</v>
      </c>
      <c r="E6" s="21">
        <f>+'Data Sheet'!E25</f>
        <v>0</v>
      </c>
      <c r="F6" s="21">
        <f>+'Data Sheet'!F25</f>
        <v>0</v>
      </c>
      <c r="G6" s="21">
        <f>+'Data Sheet'!G25</f>
        <v>0</v>
      </c>
      <c r="H6" s="21">
        <f>+'Data Sheet'!H25</f>
        <v>0</v>
      </c>
      <c r="I6" s="21">
        <f>+'Data Sheet'!I25</f>
        <v>0</v>
      </c>
      <c r="J6" s="21">
        <f>+'Data Sheet'!J25</f>
        <v>0</v>
      </c>
      <c r="K6" s="21">
        <f>+'Data Sheet'!K25</f>
        <v>0</v>
      </c>
      <c r="L6" s="21" t="str">
        <f>IF(N68=TRUE,"",+SUM('Data Sheet'!H44:K44))</f>
        <v/>
      </c>
      <c r="M6" s="18">
        <f>SUM(B6:K6)</f>
        <v>0</v>
      </c>
      <c r="N6" s="19" t="s">
        <v>163</v>
      </c>
      <c r="O6" s="20" t="str">
        <f>IF(B51=0,"",POWER($K51/B51,1/9)-1)</f>
        <v/>
      </c>
      <c r="P6" s="20" t="str">
        <f>IF(D51=0,"",POWER($K51/D51,1/7)-1)</f>
        <v/>
      </c>
      <c r="Q6" s="20" t="str">
        <f>IF(F51=0,"",POWER($K51/F51,1/5)-1)</f>
        <v/>
      </c>
      <c r="R6" s="20" t="str">
        <f>IF(H51=0,"",POWER($K51/H51, 1/3)-1)</f>
        <v/>
      </c>
      <c r="T6" s="19"/>
      <c r="U6" s="19"/>
      <c r="V6" s="19"/>
      <c r="W6" s="19"/>
      <c r="X6" s="19"/>
      <c r="Y6" s="19"/>
    </row>
    <row r="7" spans="1:25" ht="15" hidden="1" customHeight="1" x14ac:dyDescent="0.25">
      <c r="A7" t="s">
        <v>95</v>
      </c>
      <c r="B7" s="21">
        <f t="shared" ref="B7:K7" si="1">+SUM(B4+B6)</f>
        <v>0</v>
      </c>
      <c r="C7" s="21">
        <f t="shared" si="1"/>
        <v>0</v>
      </c>
      <c r="D7" s="21">
        <f t="shared" si="1"/>
        <v>0</v>
      </c>
      <c r="E7" s="21">
        <f t="shared" si="1"/>
        <v>0</v>
      </c>
      <c r="F7" s="21">
        <f t="shared" si="1"/>
        <v>0</v>
      </c>
      <c r="G7" s="21">
        <f t="shared" si="1"/>
        <v>0</v>
      </c>
      <c r="H7" s="21">
        <f t="shared" si="1"/>
        <v>0</v>
      </c>
      <c r="I7" s="21">
        <f t="shared" si="1"/>
        <v>0</v>
      </c>
      <c r="J7" s="21">
        <f t="shared" si="1"/>
        <v>0</v>
      </c>
      <c r="K7" s="21">
        <f t="shared" si="1"/>
        <v>0</v>
      </c>
      <c r="L7" s="21" t="str">
        <f>++IF(N68=TRUE,"",SUM(L4+L6))</f>
        <v/>
      </c>
      <c r="M7" s="18">
        <f>SUM(B7:K7)</f>
        <v>0</v>
      </c>
      <c r="T7" s="23"/>
      <c r="U7" s="23"/>
      <c r="V7" s="23"/>
      <c r="W7" s="23"/>
      <c r="X7" s="23"/>
      <c r="Y7" s="23"/>
    </row>
    <row r="8" spans="1:25" x14ac:dyDescent="0.25">
      <c r="A8" t="s">
        <v>7</v>
      </c>
      <c r="B8" s="21">
        <f>+'Data Sheet'!B27</f>
        <v>0</v>
      </c>
      <c r="C8" s="21">
        <f>+'Data Sheet'!C27</f>
        <v>0</v>
      </c>
      <c r="D8" s="21">
        <f>+'Data Sheet'!D27</f>
        <v>0</v>
      </c>
      <c r="E8" s="21">
        <f>+'Data Sheet'!E27</f>
        <v>0</v>
      </c>
      <c r="F8" s="21">
        <f>+'Data Sheet'!F27</f>
        <v>0</v>
      </c>
      <c r="G8" s="21">
        <f>+'Data Sheet'!G27</f>
        <v>0</v>
      </c>
      <c r="H8" s="21">
        <f>+'Data Sheet'!H27</f>
        <v>0</v>
      </c>
      <c r="I8" s="21">
        <f>+'Data Sheet'!I27</f>
        <v>0</v>
      </c>
      <c r="J8" s="21">
        <f>+'Data Sheet'!J27</f>
        <v>0</v>
      </c>
      <c r="K8" s="21">
        <f>+'Data Sheet'!K27</f>
        <v>0</v>
      </c>
      <c r="L8" s="21" t="str">
        <f>+IF(N68=TRUE,"",SUM('Data Sheet'!H46:K46))</f>
        <v/>
      </c>
      <c r="M8" s="18">
        <f>SUM(B8:K8)</f>
        <v>0</v>
      </c>
      <c r="N8" s="21">
        <f>+M54</f>
        <v>0</v>
      </c>
      <c r="O8" s="59" t="s">
        <v>93</v>
      </c>
      <c r="P8" s="26"/>
      <c r="Q8" s="26"/>
      <c r="R8" s="26"/>
      <c r="S8" s="26"/>
      <c r="T8" s="23"/>
      <c r="U8" s="23"/>
      <c r="V8" s="23"/>
      <c r="W8" s="23"/>
      <c r="X8" s="23"/>
      <c r="Y8" s="23"/>
    </row>
    <row r="9" spans="1:25" ht="15" customHeight="1" x14ac:dyDescent="0.25">
      <c r="A9" t="s">
        <v>6</v>
      </c>
      <c r="B9" s="21">
        <f>+'Data Sheet'!B26</f>
        <v>0</v>
      </c>
      <c r="C9" s="21">
        <f>+'Data Sheet'!C26</f>
        <v>0</v>
      </c>
      <c r="D9" s="21">
        <f>+'Data Sheet'!D26</f>
        <v>0</v>
      </c>
      <c r="E9" s="21">
        <f>+'Data Sheet'!E26</f>
        <v>0</v>
      </c>
      <c r="F9" s="21">
        <f>+'Data Sheet'!F26</f>
        <v>0</v>
      </c>
      <c r="G9" s="21">
        <f>+'Data Sheet'!G26</f>
        <v>0</v>
      </c>
      <c r="H9" s="21">
        <f>+'Data Sheet'!H26</f>
        <v>0</v>
      </c>
      <c r="I9" s="21">
        <f>+'Data Sheet'!I26</f>
        <v>0</v>
      </c>
      <c r="J9" s="21">
        <f>+'Data Sheet'!J26</f>
        <v>0</v>
      </c>
      <c r="K9" s="21">
        <f>+'Data Sheet'!K26</f>
        <v>0</v>
      </c>
      <c r="L9" s="21" t="str">
        <f>IF(N68=TRUE,"",+SUM('Data Sheet'!H45:K45))</f>
        <v/>
      </c>
      <c r="M9" s="18">
        <f>SUM(B9:K9)</f>
        <v>0</v>
      </c>
      <c r="N9" s="60" t="s">
        <v>157</v>
      </c>
      <c r="O9" s="62" t="e">
        <f>+B46</f>
        <v>#DIV/0!</v>
      </c>
      <c r="P9" s="62" t="e">
        <f>+E46</f>
        <v>#DIV/0!</v>
      </c>
      <c r="Q9" s="62" t="e">
        <f>+G46</f>
        <v>#DIV/0!</v>
      </c>
      <c r="R9" s="62" t="e">
        <f>+I46</f>
        <v>#DIV/0!</v>
      </c>
      <c r="S9" s="62" t="e">
        <f>+O16/L13</f>
        <v>#VALUE!</v>
      </c>
      <c r="T9" s="23"/>
      <c r="U9" s="23"/>
      <c r="V9" s="23"/>
      <c r="W9" s="23"/>
      <c r="X9" s="23"/>
      <c r="Y9" s="23"/>
    </row>
    <row r="10" spans="1:25" x14ac:dyDescent="0.25">
      <c r="A10" t="s">
        <v>69</v>
      </c>
      <c r="B10" s="21">
        <f>+'Data Sheet'!B28</f>
        <v>0</v>
      </c>
      <c r="C10" s="21">
        <f>+'Data Sheet'!C28</f>
        <v>0</v>
      </c>
      <c r="D10" s="21">
        <f>+'Data Sheet'!D28</f>
        <v>0</v>
      </c>
      <c r="E10" s="21">
        <f>+'Data Sheet'!E28</f>
        <v>0</v>
      </c>
      <c r="F10" s="21">
        <f>+'Data Sheet'!F28</f>
        <v>0</v>
      </c>
      <c r="G10" s="21">
        <f>+'Data Sheet'!G28</f>
        <v>0</v>
      </c>
      <c r="H10" s="21">
        <f>+'Data Sheet'!H28</f>
        <v>0</v>
      </c>
      <c r="I10" s="21">
        <f>+'Data Sheet'!I28</f>
        <v>0</v>
      </c>
      <c r="J10" s="21">
        <f>+'Data Sheet'!J28</f>
        <v>0</v>
      </c>
      <c r="K10" s="21">
        <f>+'Data Sheet'!K28</f>
        <v>0</v>
      </c>
      <c r="L10" s="27" t="str">
        <f>IF(N68=TRUE,"",+SUM('Data Sheet'!H47:K47))</f>
        <v/>
      </c>
      <c r="M10" s="17"/>
      <c r="N10" s="21" t="s">
        <v>68</v>
      </c>
      <c r="O10" s="17">
        <f>+'Data Sheet'!B8</f>
        <v>0</v>
      </c>
      <c r="P10" s="26"/>
      <c r="Q10" s="26"/>
      <c r="R10" s="26"/>
      <c r="S10" s="26"/>
      <c r="T10" s="23"/>
      <c r="U10" s="23"/>
      <c r="V10" s="23"/>
      <c r="W10" s="23"/>
      <c r="X10" s="23"/>
      <c r="Y10" s="23"/>
    </row>
    <row r="11" spans="1:25" ht="15" hidden="1" customHeight="1" x14ac:dyDescent="0.25">
      <c r="A11" t="s">
        <v>9</v>
      </c>
      <c r="B11" s="21">
        <f>+'Data Sheet'!B29</f>
        <v>0</v>
      </c>
      <c r="C11" s="21">
        <f>+'Data Sheet'!C29</f>
        <v>0</v>
      </c>
      <c r="D11" s="21">
        <f>+'Data Sheet'!D29</f>
        <v>0</v>
      </c>
      <c r="E11" s="21">
        <f>+'Data Sheet'!E29</f>
        <v>0</v>
      </c>
      <c r="F11" s="21">
        <f>+'Data Sheet'!F29</f>
        <v>0</v>
      </c>
      <c r="G11" s="21">
        <f>+'Data Sheet'!G29</f>
        <v>0</v>
      </c>
      <c r="H11" s="21">
        <f>+'Data Sheet'!H29</f>
        <v>0</v>
      </c>
      <c r="I11" s="21">
        <f>+'Data Sheet'!I29</f>
        <v>0</v>
      </c>
      <c r="J11" s="21">
        <f>+'Data Sheet'!J29</f>
        <v>0</v>
      </c>
      <c r="K11" s="21">
        <f>+'Data Sheet'!K29</f>
        <v>0</v>
      </c>
      <c r="L11" s="21" t="str">
        <f>IF(N68=TRUE,"",+SUM('Data Sheet'!H48:K48))</f>
        <v/>
      </c>
      <c r="M11" s="17"/>
      <c r="P11" s="26"/>
      <c r="Q11" s="26"/>
      <c r="R11" s="26"/>
      <c r="S11" s="26"/>
      <c r="T11" s="23"/>
      <c r="U11" s="23"/>
      <c r="V11" s="23"/>
      <c r="W11" s="23"/>
      <c r="X11" s="23"/>
      <c r="Y11" s="23"/>
    </row>
    <row r="12" spans="1:25" x14ac:dyDescent="0.25">
      <c r="A12" t="s">
        <v>71</v>
      </c>
      <c r="B12" s="20" t="e">
        <f t="shared" ref="B12:K12" si="2">B11/B10</f>
        <v>#DIV/0!</v>
      </c>
      <c r="C12" s="20" t="e">
        <f t="shared" si="2"/>
        <v>#DIV/0!</v>
      </c>
      <c r="D12" s="20" t="e">
        <f t="shared" si="2"/>
        <v>#DIV/0!</v>
      </c>
      <c r="E12" s="20" t="e">
        <f t="shared" si="2"/>
        <v>#DIV/0!</v>
      </c>
      <c r="F12" s="20" t="e">
        <f t="shared" si="2"/>
        <v>#DIV/0!</v>
      </c>
      <c r="G12" s="20" t="e">
        <f t="shared" si="2"/>
        <v>#DIV/0!</v>
      </c>
      <c r="H12" s="20" t="e">
        <f t="shared" si="2"/>
        <v>#DIV/0!</v>
      </c>
      <c r="I12" s="20" t="e">
        <f t="shared" si="2"/>
        <v>#DIV/0!</v>
      </c>
      <c r="J12" s="20" t="e">
        <f t="shared" si="2"/>
        <v>#DIV/0!</v>
      </c>
      <c r="K12" s="20" t="e">
        <f t="shared" si="2"/>
        <v>#DIV/0!</v>
      </c>
      <c r="L12" s="20" t="str">
        <f>+IF(N68=TRUE,"",L11/L10)</f>
        <v/>
      </c>
      <c r="M12" s="17"/>
      <c r="N12" s="2" t="s">
        <v>70</v>
      </c>
      <c r="O12" s="28" t="e">
        <f>IF(N68=TRUE,O16/K13,O16/L13)</f>
        <v>#DIV/0!</v>
      </c>
      <c r="P12" s="26"/>
      <c r="Q12" s="26"/>
      <c r="R12" s="26"/>
      <c r="S12" s="26"/>
      <c r="T12" s="23"/>
      <c r="U12" s="23"/>
      <c r="V12" s="23"/>
      <c r="W12" s="23"/>
      <c r="X12" s="23"/>
      <c r="Y12" s="23"/>
    </row>
    <row r="13" spans="1:25" x14ac:dyDescent="0.25">
      <c r="A13" s="2" t="s">
        <v>73</v>
      </c>
      <c r="B13" s="34">
        <f>+'Data Sheet'!B30</f>
        <v>0</v>
      </c>
      <c r="C13" s="34">
        <f>+'Data Sheet'!C30</f>
        <v>0</v>
      </c>
      <c r="D13" s="34">
        <f>+'Data Sheet'!D30</f>
        <v>0</v>
      </c>
      <c r="E13" s="34">
        <f>+'Data Sheet'!E30</f>
        <v>0</v>
      </c>
      <c r="F13" s="34">
        <f>+'Data Sheet'!F30</f>
        <v>0</v>
      </c>
      <c r="G13" s="34">
        <f>+'Data Sheet'!G30</f>
        <v>0</v>
      </c>
      <c r="H13" s="34">
        <f>+'Data Sheet'!H30</f>
        <v>0</v>
      </c>
      <c r="I13" s="34">
        <f>+'Data Sheet'!I30</f>
        <v>0</v>
      </c>
      <c r="J13" s="34">
        <f>+'Data Sheet'!J30</f>
        <v>0</v>
      </c>
      <c r="K13" s="34">
        <f>+'Data Sheet'!K30</f>
        <v>0</v>
      </c>
      <c r="L13" s="34" t="str">
        <f>IF(N68=TRUE,"",+SUM('Data Sheet'!H49:K49))</f>
        <v/>
      </c>
      <c r="M13" s="34">
        <f>SUM(B13:K13)</f>
        <v>0</v>
      </c>
      <c r="N13" s="29" t="s">
        <v>72</v>
      </c>
      <c r="O13" s="30" t="e">
        <f>+'Data Sheet'!B9/SUM('Data Sheet'!K57:K58)</f>
        <v>#DIV/0!</v>
      </c>
      <c r="P13" s="26"/>
      <c r="Q13" s="26"/>
      <c r="R13" s="26"/>
      <c r="S13" s="26"/>
      <c r="T13" s="23"/>
      <c r="U13" s="23"/>
      <c r="V13" s="23"/>
      <c r="W13" s="23"/>
      <c r="X13" s="23"/>
      <c r="Y13" s="23"/>
    </row>
    <row r="14" spans="1:25" x14ac:dyDescent="0.25">
      <c r="A14" t="s">
        <v>75</v>
      </c>
      <c r="B14" s="26" t="e">
        <f t="shared" ref="B14:K14" si="3">B13/B3</f>
        <v>#DIV/0!</v>
      </c>
      <c r="C14" s="22" t="e">
        <f t="shared" si="3"/>
        <v>#DIV/0!</v>
      </c>
      <c r="D14" s="22" t="e">
        <f t="shared" si="3"/>
        <v>#DIV/0!</v>
      </c>
      <c r="E14" s="22" t="e">
        <f t="shared" si="3"/>
        <v>#DIV/0!</v>
      </c>
      <c r="F14" s="22" t="e">
        <f t="shared" si="3"/>
        <v>#DIV/0!</v>
      </c>
      <c r="G14" s="22" t="e">
        <f t="shared" si="3"/>
        <v>#DIV/0!</v>
      </c>
      <c r="H14" s="22" t="e">
        <f t="shared" si="3"/>
        <v>#DIV/0!</v>
      </c>
      <c r="I14" s="22" t="e">
        <f t="shared" si="3"/>
        <v>#DIV/0!</v>
      </c>
      <c r="J14" s="22" t="e">
        <f t="shared" si="3"/>
        <v>#DIV/0!</v>
      </c>
      <c r="K14" s="22" t="e">
        <f t="shared" si="3"/>
        <v>#DIV/0!</v>
      </c>
      <c r="L14" s="24" t="str">
        <f>+IF(N68=TRUE,"",L13/L3)</f>
        <v/>
      </c>
      <c r="M14" s="31"/>
      <c r="N14" s="21" t="s">
        <v>74</v>
      </c>
      <c r="O14" s="30" t="e">
        <f>O12*O13</f>
        <v>#DIV/0!</v>
      </c>
      <c r="P14" s="26"/>
      <c r="Q14" s="26"/>
      <c r="R14" s="26"/>
      <c r="S14" s="26"/>
      <c r="T14" s="23"/>
      <c r="U14" s="23"/>
      <c r="V14" s="23"/>
      <c r="W14" s="23"/>
      <c r="X14" s="23"/>
      <c r="Y14" s="23"/>
    </row>
    <row r="15" spans="1:25" x14ac:dyDescent="0.25">
      <c r="A15" t="s">
        <v>77</v>
      </c>
      <c r="B15" s="21">
        <f>+'Data Sheet'!B82</f>
        <v>0</v>
      </c>
      <c r="C15" s="21">
        <f>+'Data Sheet'!C82</f>
        <v>0</v>
      </c>
      <c r="D15" s="21">
        <f>+'Data Sheet'!D82</f>
        <v>0</v>
      </c>
      <c r="E15" s="21">
        <f>+'Data Sheet'!E82</f>
        <v>0</v>
      </c>
      <c r="F15" s="21">
        <f>+'Data Sheet'!F82</f>
        <v>0</v>
      </c>
      <c r="G15" s="21">
        <f>+'Data Sheet'!G82</f>
        <v>0</v>
      </c>
      <c r="H15" s="21">
        <f>+'Data Sheet'!H82</f>
        <v>0</v>
      </c>
      <c r="I15" s="21">
        <f>+'Data Sheet'!I82</f>
        <v>0</v>
      </c>
      <c r="J15" s="21">
        <f>+'Data Sheet'!J82</f>
        <v>0</v>
      </c>
      <c r="K15" s="21">
        <f>+'Data Sheet'!K82</f>
        <v>0</v>
      </c>
      <c r="L15" s="33" t="s">
        <v>78</v>
      </c>
      <c r="M15" s="34">
        <f>SUM(B15:K15)</f>
        <v>0</v>
      </c>
      <c r="N15" t="s">
        <v>76</v>
      </c>
      <c r="O15" s="32" t="e">
        <f>'Data Sheet'!K31/'Data Sheet'!B9</f>
        <v>#DIV/0!</v>
      </c>
      <c r="P15" s="26"/>
      <c r="Q15" s="26"/>
      <c r="R15" s="26"/>
      <c r="S15" s="26"/>
      <c r="T15" s="23"/>
      <c r="U15" s="23"/>
      <c r="V15" s="23"/>
      <c r="W15" s="23"/>
      <c r="X15" s="23"/>
      <c r="Y15" s="23"/>
    </row>
    <row r="16" spans="1:25" x14ac:dyDescent="0.25">
      <c r="A16" s="2" t="s">
        <v>79</v>
      </c>
      <c r="B16" s="18"/>
      <c r="C16" s="34">
        <f>+'Data Sheet'!C62+'Data Sheet'!C63-'Data Sheet'!B62-'Data Sheet'!B63+'Data Sheet'!C26</f>
        <v>0</v>
      </c>
      <c r="D16" s="34">
        <f>+'Data Sheet'!D62+'Data Sheet'!D63-'Data Sheet'!C62-'Data Sheet'!C63+'Data Sheet'!D26</f>
        <v>0</v>
      </c>
      <c r="E16" s="34">
        <f>+'Data Sheet'!E62+'Data Sheet'!E63-'Data Sheet'!D62-'Data Sheet'!D63+'Data Sheet'!E26</f>
        <v>0</v>
      </c>
      <c r="F16" s="34">
        <f>+'Data Sheet'!F62+'Data Sheet'!F63-'Data Sheet'!E62-'Data Sheet'!E63+'Data Sheet'!F26</f>
        <v>0</v>
      </c>
      <c r="G16" s="34">
        <f>+'Data Sheet'!G62+'Data Sheet'!G63-'Data Sheet'!F62-'Data Sheet'!F63+'Data Sheet'!G26</f>
        <v>0</v>
      </c>
      <c r="H16" s="34">
        <f>+'Data Sheet'!H62+'Data Sheet'!H63-'Data Sheet'!G62-'Data Sheet'!G63+'Data Sheet'!H26</f>
        <v>0</v>
      </c>
      <c r="I16" s="34">
        <f>+'Data Sheet'!I62+'Data Sheet'!I63-'Data Sheet'!H62-'Data Sheet'!H63+'Data Sheet'!I26</f>
        <v>0</v>
      </c>
      <c r="J16" s="34">
        <f>+'Data Sheet'!J62+'Data Sheet'!J63-'Data Sheet'!I62-'Data Sheet'!I63+'Data Sheet'!J26</f>
        <v>0</v>
      </c>
      <c r="K16" s="34">
        <f>+'Data Sheet'!K62+'Data Sheet'!K63-'Data Sheet'!J62-'Data Sheet'!J63+'Data Sheet'!K26</f>
        <v>0</v>
      </c>
      <c r="L16" s="33" t="s">
        <v>80</v>
      </c>
      <c r="M16" s="34">
        <f>SUM(B16:K16)</f>
        <v>0</v>
      </c>
      <c r="N16" t="s">
        <v>164</v>
      </c>
      <c r="O16" s="23">
        <f>+'Data Sheet'!B9</f>
        <v>0</v>
      </c>
      <c r="P16" s="26"/>
      <c r="Q16" s="26"/>
      <c r="R16" s="26"/>
      <c r="S16" s="26"/>
      <c r="T16" s="23"/>
      <c r="U16" s="23"/>
      <c r="V16" s="23"/>
      <c r="W16" s="23"/>
      <c r="X16" s="23"/>
      <c r="Y16" s="23"/>
    </row>
    <row r="17" spans="1:25" x14ac:dyDescent="0.25">
      <c r="A17" t="s">
        <v>81</v>
      </c>
      <c r="B17" s="17"/>
      <c r="C17" s="21">
        <f t="shared" ref="C17:K17" si="4">+C15-C16</f>
        <v>0</v>
      </c>
      <c r="D17" s="21">
        <f t="shared" si="4"/>
        <v>0</v>
      </c>
      <c r="E17" s="21">
        <f t="shared" si="4"/>
        <v>0</v>
      </c>
      <c r="F17" s="21">
        <f t="shared" si="4"/>
        <v>0</v>
      </c>
      <c r="G17" s="21">
        <f t="shared" si="4"/>
        <v>0</v>
      </c>
      <c r="H17" s="21">
        <f t="shared" si="4"/>
        <v>0</v>
      </c>
      <c r="I17" s="21">
        <f t="shared" si="4"/>
        <v>0</v>
      </c>
      <c r="J17" s="21">
        <f t="shared" si="4"/>
        <v>0</v>
      </c>
      <c r="K17" s="21">
        <f t="shared" si="4"/>
        <v>0</v>
      </c>
      <c r="L17" s="35" t="s">
        <v>81</v>
      </c>
      <c r="M17" s="34">
        <f>+M15-M16</f>
        <v>0</v>
      </c>
      <c r="N17" s="21">
        <f>SUM(B45:K45)</f>
        <v>0</v>
      </c>
      <c r="O17" t="s">
        <v>82</v>
      </c>
      <c r="P17" s="26"/>
      <c r="Q17" s="26"/>
      <c r="R17" s="26"/>
      <c r="S17" s="26"/>
      <c r="T17" s="23"/>
      <c r="U17" s="23"/>
      <c r="V17" s="23"/>
      <c r="W17" s="23"/>
      <c r="X17" s="23"/>
      <c r="Y17" s="23"/>
    </row>
    <row r="18" spans="1:25" s="24" customFormat="1" x14ac:dyDescent="0.25">
      <c r="A18" s="2" t="s">
        <v>83</v>
      </c>
      <c r="B18" s="63">
        <f>+'Data Sheet'!B59</f>
        <v>0</v>
      </c>
      <c r="C18" s="31">
        <f>+'Data Sheet'!C59</f>
        <v>0</v>
      </c>
      <c r="D18" s="31">
        <f>+'Data Sheet'!D59</f>
        <v>0</v>
      </c>
      <c r="E18" s="31">
        <f>+'Data Sheet'!E59</f>
        <v>0</v>
      </c>
      <c r="F18" s="31">
        <f>+'Data Sheet'!F59</f>
        <v>0</v>
      </c>
      <c r="G18" s="31">
        <f>+'Data Sheet'!G59</f>
        <v>0</v>
      </c>
      <c r="H18" s="31">
        <f>+'Data Sheet'!H59</f>
        <v>0</v>
      </c>
      <c r="I18" s="31">
        <f>+'Data Sheet'!I59</f>
        <v>0</v>
      </c>
      <c r="J18" s="31">
        <f>+'Data Sheet'!J59</f>
        <v>0</v>
      </c>
      <c r="K18" s="31">
        <f>+'Data Sheet'!K59</f>
        <v>0</v>
      </c>
      <c r="L18" s="24" t="s">
        <v>152</v>
      </c>
      <c r="M18" s="34">
        <f>+M17-M8</f>
        <v>0</v>
      </c>
      <c r="N18" s="21">
        <f>L47-IF(N22&gt;0,N22*'Data Sheet'!B6,B47)</f>
        <v>0</v>
      </c>
      <c r="O18" t="s">
        <v>84</v>
      </c>
      <c r="P18" s="26"/>
      <c r="Q18" s="26"/>
      <c r="R18" s="26"/>
      <c r="S18" s="26"/>
    </row>
    <row r="19" spans="1:25" x14ac:dyDescent="0.25">
      <c r="A19" t="s">
        <v>85</v>
      </c>
      <c r="B19" s="25">
        <f>+'Data Sheet'!B57</f>
        <v>0</v>
      </c>
      <c r="C19" s="25">
        <f>+'Data Sheet'!C57</f>
        <v>0</v>
      </c>
      <c r="D19" s="25">
        <f>+'Data Sheet'!D57</f>
        <v>0</v>
      </c>
      <c r="E19" s="25">
        <f>+'Data Sheet'!E57</f>
        <v>0</v>
      </c>
      <c r="F19" s="25">
        <f>+'Data Sheet'!F57</f>
        <v>0</v>
      </c>
      <c r="G19" s="25">
        <f>+'Data Sheet'!G57</f>
        <v>0</v>
      </c>
      <c r="H19" s="25">
        <f>+'Data Sheet'!H57</f>
        <v>0</v>
      </c>
      <c r="I19" s="25">
        <f>+'Data Sheet'!I57</f>
        <v>0</v>
      </c>
      <c r="J19" s="25">
        <f>+'Data Sheet'!J57</f>
        <v>0</v>
      </c>
      <c r="K19" s="25">
        <f>+'Data Sheet'!K57</f>
        <v>0</v>
      </c>
      <c r="L19" s="65" t="s">
        <v>153</v>
      </c>
      <c r="M19" s="34">
        <f>M18+M6</f>
        <v>0</v>
      </c>
      <c r="N19" s="39" t="e">
        <f>N18/N17</f>
        <v>#DIV/0!</v>
      </c>
      <c r="O19" s="2" t="s">
        <v>87</v>
      </c>
      <c r="P19" s="23"/>
      <c r="Q19" s="2"/>
      <c r="R19" s="2"/>
      <c r="S19" s="2"/>
      <c r="T19" s="23"/>
      <c r="U19" s="23"/>
      <c r="V19" s="23"/>
      <c r="W19" s="23"/>
      <c r="X19" s="23"/>
      <c r="Y19" s="23"/>
    </row>
    <row r="20" spans="1:25" x14ac:dyDescent="0.25">
      <c r="A20" t="s">
        <v>88</v>
      </c>
      <c r="B20" s="17">
        <f>+'Data Sheet'!B31</f>
        <v>0</v>
      </c>
      <c r="C20" s="17">
        <f>+'Data Sheet'!C31</f>
        <v>0</v>
      </c>
      <c r="D20" s="17">
        <f>+'Data Sheet'!D31</f>
        <v>0</v>
      </c>
      <c r="E20" s="17">
        <f>+'Data Sheet'!E31</f>
        <v>0</v>
      </c>
      <c r="F20" s="17">
        <f>+'Data Sheet'!F31</f>
        <v>0</v>
      </c>
      <c r="G20" s="17">
        <f>+'Data Sheet'!G31</f>
        <v>0</v>
      </c>
      <c r="H20" s="17">
        <f>+'Data Sheet'!H31</f>
        <v>0</v>
      </c>
      <c r="I20" s="17">
        <f>+'Data Sheet'!I31</f>
        <v>0</v>
      </c>
      <c r="J20" s="17">
        <f>+'Data Sheet'!J31</f>
        <v>0</v>
      </c>
      <c r="K20" s="17">
        <f>+'Data Sheet'!K31</f>
        <v>0</v>
      </c>
      <c r="L20" s="37" t="s">
        <v>86</v>
      </c>
      <c r="M20" s="38">
        <f>SUM(B43:K43)</f>
        <v>0</v>
      </c>
      <c r="N20" s="5" t="e">
        <f ca="1">+(L47/B47)^(1/((TODAY()-B2)/365))-1</f>
        <v>#DIV/0!</v>
      </c>
      <c r="O20" s="2" t="s">
        <v>155</v>
      </c>
      <c r="P20" s="19"/>
      <c r="Q20" s="2"/>
      <c r="R20" s="2"/>
      <c r="S20" s="2"/>
      <c r="T20" s="19"/>
      <c r="U20" s="19"/>
      <c r="V20" s="23"/>
      <c r="W20" s="23"/>
      <c r="X20" s="23"/>
      <c r="Y20" s="23"/>
    </row>
    <row r="21" spans="1:25" ht="15.75" thickBot="1" x14ac:dyDescent="0.3">
      <c r="A21" t="s">
        <v>151</v>
      </c>
      <c r="B21" s="17"/>
      <c r="C21" s="21">
        <f>+C17+C6+(C18-B18)-C20-C8</f>
        <v>0</v>
      </c>
      <c r="D21" s="21">
        <f t="shared" ref="D21:K21" si="5">+D17+D6+(D18-C18)-D20-D8</f>
        <v>0</v>
      </c>
      <c r="E21" s="21">
        <f t="shared" si="5"/>
        <v>0</v>
      </c>
      <c r="F21" s="21">
        <f t="shared" si="5"/>
        <v>0</v>
      </c>
      <c r="G21" s="21">
        <f t="shared" si="5"/>
        <v>0</v>
      </c>
      <c r="H21" s="21">
        <f t="shared" si="5"/>
        <v>0</v>
      </c>
      <c r="I21" s="21">
        <f t="shared" si="5"/>
        <v>0</v>
      </c>
      <c r="J21" s="21">
        <f t="shared" si="5"/>
        <v>0</v>
      </c>
      <c r="K21" s="21">
        <f t="shared" si="5"/>
        <v>0</v>
      </c>
      <c r="L21" s="37" t="s">
        <v>156</v>
      </c>
      <c r="M21" s="18">
        <f>+K18-B18</f>
        <v>0</v>
      </c>
      <c r="P21" s="19"/>
      <c r="Q21" s="2"/>
      <c r="R21" s="2"/>
      <c r="S21" s="2"/>
      <c r="T21" s="19"/>
      <c r="U21" s="19"/>
      <c r="V21" s="23"/>
      <c r="W21" s="23"/>
      <c r="X21" s="23"/>
      <c r="Y21" s="23"/>
    </row>
    <row r="22" spans="1:25" s="2" customFormat="1" ht="15.75" thickBot="1" x14ac:dyDescent="0.3">
      <c r="A22" t="s">
        <v>89</v>
      </c>
      <c r="B22" s="21">
        <f>+'Data Sheet'!B64+'Data Sheet'!B69</f>
        <v>0</v>
      </c>
      <c r="C22" s="21">
        <f>+'Data Sheet'!C64+'Data Sheet'!C69</f>
        <v>0</v>
      </c>
      <c r="D22" s="21">
        <f>+'Data Sheet'!D64+'Data Sheet'!D69</f>
        <v>0</v>
      </c>
      <c r="E22" s="21">
        <f>+'Data Sheet'!E64+'Data Sheet'!E69</f>
        <v>0</v>
      </c>
      <c r="F22" s="21">
        <f>+'Data Sheet'!F64+'Data Sheet'!F69</f>
        <v>0</v>
      </c>
      <c r="G22" s="21">
        <f>+'Data Sheet'!G64+'Data Sheet'!G69</f>
        <v>0</v>
      </c>
      <c r="H22" s="21">
        <f>+'Data Sheet'!H64+'Data Sheet'!H69</f>
        <v>0</v>
      </c>
      <c r="I22" s="21">
        <f>+'Data Sheet'!I64+'Data Sheet'!I69</f>
        <v>0</v>
      </c>
      <c r="J22" s="21">
        <f>+'Data Sheet'!J64+'Data Sheet'!J69</f>
        <v>0</v>
      </c>
      <c r="K22" s="34">
        <f>+'Data Sheet'!K64+'Data Sheet'!K69</f>
        <v>0</v>
      </c>
      <c r="L22" s="37" t="s">
        <v>154</v>
      </c>
      <c r="M22" s="34">
        <f>+M19-M20+M21</f>
        <v>0</v>
      </c>
      <c r="N22" s="40">
        <v>0</v>
      </c>
      <c r="O22" s="2" t="s">
        <v>90</v>
      </c>
      <c r="P22" s="19"/>
      <c r="Q22" s="23"/>
      <c r="R22" s="20"/>
      <c r="S22" s="20"/>
      <c r="T22" s="19"/>
      <c r="U22" s="19"/>
      <c r="V22" s="19"/>
      <c r="W22" s="19"/>
      <c r="X22" s="19"/>
      <c r="Y22" s="19"/>
    </row>
    <row r="23" spans="1:25" s="2" customFormat="1" x14ac:dyDescent="0.25">
      <c r="P23" s="19"/>
      <c r="Q23" s="23"/>
      <c r="R23" s="20"/>
      <c r="S23" s="20"/>
      <c r="T23" s="19"/>
      <c r="U23" s="19"/>
      <c r="V23" s="19"/>
      <c r="W23" s="19"/>
      <c r="X23" s="19"/>
      <c r="Y23" s="19"/>
    </row>
    <row r="24" spans="1:25" s="2" customFormat="1" x14ac:dyDescent="0.25">
      <c r="A24" s="2" t="s">
        <v>92</v>
      </c>
      <c r="D24" s="5"/>
      <c r="E24" s="5" t="e">
        <f t="shared" ref="E24:K24" si="6">AVERAGE(C34:E34)*AVERAGE(C14:E14)*(1-AVERAGE(C44:E44))-AVERAGE(C68:E68)</f>
        <v>#DIV/0!</v>
      </c>
      <c r="F24" s="5" t="e">
        <f t="shared" si="6"/>
        <v>#DIV/0!</v>
      </c>
      <c r="G24" s="5" t="e">
        <f t="shared" si="6"/>
        <v>#DIV/0!</v>
      </c>
      <c r="H24" s="5" t="e">
        <f t="shared" si="6"/>
        <v>#DIV/0!</v>
      </c>
      <c r="I24" s="5" t="e">
        <f t="shared" si="6"/>
        <v>#DIV/0!</v>
      </c>
      <c r="J24" s="5" t="e">
        <f t="shared" si="6"/>
        <v>#DIV/0!</v>
      </c>
      <c r="K24" s="5" t="e">
        <f t="shared" si="6"/>
        <v>#DIV/0!</v>
      </c>
      <c r="L24" s="60" t="s">
        <v>91</v>
      </c>
      <c r="M24" s="5" t="e">
        <f>+M17/M15</f>
        <v>#DIV/0!</v>
      </c>
      <c r="Q24" s="19"/>
      <c r="R24" s="23"/>
      <c r="S24" s="23"/>
      <c r="T24" s="19"/>
      <c r="U24" s="19"/>
      <c r="V24" s="19"/>
      <c r="W24" s="19"/>
      <c r="X24" s="19"/>
      <c r="Y24" s="19"/>
    </row>
    <row r="25" spans="1:25" s="2" customFormat="1" x14ac:dyDescent="0.25">
      <c r="L25" s="15" t="s">
        <v>150</v>
      </c>
      <c r="P25"/>
      <c r="Q25" s="19"/>
      <c r="R25" s="19"/>
      <c r="S25" s="19"/>
      <c r="T25" s="19"/>
      <c r="U25" s="19"/>
      <c r="V25" s="19"/>
      <c r="W25" s="19"/>
      <c r="X25" s="19"/>
      <c r="Y25" s="19"/>
    </row>
    <row r="26" spans="1:25" s="2" customFormat="1" x14ac:dyDescent="0.25">
      <c r="A26" t="s">
        <v>94</v>
      </c>
      <c r="B26" s="17">
        <f>+'Data Sheet'!B67</f>
        <v>0</v>
      </c>
      <c r="C26" s="17">
        <f>+'Data Sheet'!C67</f>
        <v>0</v>
      </c>
      <c r="D26" s="17">
        <f>+'Data Sheet'!D67</f>
        <v>0</v>
      </c>
      <c r="E26" s="17">
        <f>+'Data Sheet'!E67</f>
        <v>0</v>
      </c>
      <c r="F26" s="17">
        <f>+'Data Sheet'!F67</f>
        <v>0</v>
      </c>
      <c r="G26" s="17">
        <f>+'Data Sheet'!G67</f>
        <v>0</v>
      </c>
      <c r="H26" s="17">
        <f>+'Data Sheet'!H67</f>
        <v>0</v>
      </c>
      <c r="I26" s="17">
        <f>+'Data Sheet'!I67</f>
        <v>0</v>
      </c>
      <c r="J26" s="17">
        <f>+'Data Sheet'!J67</f>
        <v>0</v>
      </c>
      <c r="K26" s="17">
        <f>+'Data Sheet'!K67</f>
        <v>0</v>
      </c>
      <c r="L26" s="34">
        <f>+B26-K26</f>
        <v>0</v>
      </c>
      <c r="P26"/>
      <c r="Q26" s="19"/>
      <c r="R26" s="19"/>
      <c r="S26" s="19"/>
      <c r="T26" s="19"/>
      <c r="U26" s="19"/>
      <c r="V26" s="19"/>
      <c r="W26" s="19"/>
      <c r="X26" s="19"/>
      <c r="Y26" s="19"/>
    </row>
    <row r="27" spans="1:25" s="2" customFormat="1" x14ac:dyDescent="0.25">
      <c r="A27" t="s">
        <v>33</v>
      </c>
      <c r="B27" s="17">
        <f>+'Data Sheet'!B68</f>
        <v>0</v>
      </c>
      <c r="C27" s="17">
        <f>+'Data Sheet'!C68</f>
        <v>0</v>
      </c>
      <c r="D27" s="17">
        <f>+'Data Sheet'!D68</f>
        <v>0</v>
      </c>
      <c r="E27" s="17">
        <f>+'Data Sheet'!E68</f>
        <v>0</v>
      </c>
      <c r="F27" s="17">
        <f>+'Data Sheet'!F68</f>
        <v>0</v>
      </c>
      <c r="G27" s="17">
        <f>+'Data Sheet'!G68</f>
        <v>0</v>
      </c>
      <c r="H27" s="17">
        <f>+'Data Sheet'!H68</f>
        <v>0</v>
      </c>
      <c r="I27" s="17">
        <f>+'Data Sheet'!I68</f>
        <v>0</v>
      </c>
      <c r="J27" s="17">
        <f>+'Data Sheet'!J68</f>
        <v>0</v>
      </c>
      <c r="K27" s="17">
        <f>+'Data Sheet'!K68</f>
        <v>0</v>
      </c>
      <c r="L27" s="34">
        <f>+B27-K27</f>
        <v>0</v>
      </c>
      <c r="P27"/>
      <c r="Q27" s="19"/>
      <c r="R27" s="19"/>
      <c r="S27" s="19"/>
      <c r="T27" s="19"/>
      <c r="U27" s="19"/>
      <c r="V27" s="19"/>
      <c r="W27" s="19"/>
      <c r="X27" s="19"/>
      <c r="Y27" s="19"/>
    </row>
    <row r="28" spans="1:25" s="2" customFormat="1" x14ac:dyDescent="0.25">
      <c r="A28"/>
      <c r="B28"/>
      <c r="C28"/>
      <c r="D28"/>
      <c r="E28"/>
      <c r="F28"/>
      <c r="G28"/>
      <c r="H28"/>
      <c r="I28"/>
      <c r="J28"/>
      <c r="K28"/>
      <c r="P28"/>
      <c r="Q28" s="19"/>
      <c r="R28" s="19"/>
      <c r="S28" s="19"/>
      <c r="T28" s="19"/>
      <c r="U28" s="19"/>
      <c r="V28" s="19"/>
      <c r="W28" s="19"/>
      <c r="X28" s="19"/>
      <c r="Y28" s="19"/>
    </row>
    <row r="29" spans="1:25" s="2" customFormat="1" x14ac:dyDescent="0.25">
      <c r="A29" t="s">
        <v>96</v>
      </c>
      <c r="B29" s="20"/>
      <c r="C29" s="20" t="e">
        <f t="shared" ref="C29:K29" si="7">C10/(AVERAGE(B40:C40))</f>
        <v>#DIV/0!</v>
      </c>
      <c r="D29" s="20" t="e">
        <f t="shared" si="7"/>
        <v>#DIV/0!</v>
      </c>
      <c r="E29" s="20" t="e">
        <f t="shared" si="7"/>
        <v>#DIV/0!</v>
      </c>
      <c r="F29" s="20" t="e">
        <f t="shared" si="7"/>
        <v>#DIV/0!</v>
      </c>
      <c r="G29" s="20" t="e">
        <f t="shared" si="7"/>
        <v>#DIV/0!</v>
      </c>
      <c r="H29" s="20" t="e">
        <f t="shared" si="7"/>
        <v>#DIV/0!</v>
      </c>
      <c r="I29" s="20" t="e">
        <f t="shared" si="7"/>
        <v>#DIV/0!</v>
      </c>
      <c r="J29" s="20" t="e">
        <f t="shared" si="7"/>
        <v>#DIV/0!</v>
      </c>
      <c r="K29" s="20" t="e">
        <f t="shared" si="7"/>
        <v>#DIV/0!</v>
      </c>
      <c r="P29"/>
      <c r="Q29" s="19"/>
      <c r="R29" s="19"/>
      <c r="S29" s="19"/>
      <c r="T29" s="19"/>
      <c r="U29" s="19"/>
      <c r="V29" s="19"/>
      <c r="W29" s="19"/>
      <c r="X29" s="19"/>
      <c r="Y29" s="19"/>
    </row>
    <row r="30" spans="1:25" s="2" customFormat="1" x14ac:dyDescent="0.25">
      <c r="A30" t="s">
        <v>97</v>
      </c>
      <c r="B30" s="20"/>
      <c r="C30" s="20" t="e">
        <f t="shared" ref="C30:K30" si="8">C13/AVERAGE(B51:C51)</f>
        <v>#DIV/0!</v>
      </c>
      <c r="D30" s="20" t="e">
        <f t="shared" si="8"/>
        <v>#DIV/0!</v>
      </c>
      <c r="E30" s="20" t="e">
        <f t="shared" si="8"/>
        <v>#DIV/0!</v>
      </c>
      <c r="F30" s="20" t="e">
        <f t="shared" si="8"/>
        <v>#DIV/0!</v>
      </c>
      <c r="G30" s="20" t="e">
        <f t="shared" si="8"/>
        <v>#DIV/0!</v>
      </c>
      <c r="H30" s="20" t="e">
        <f t="shared" si="8"/>
        <v>#DIV/0!</v>
      </c>
      <c r="I30" s="20" t="e">
        <f t="shared" si="8"/>
        <v>#DIV/0!</v>
      </c>
      <c r="J30" s="20" t="e">
        <f t="shared" si="8"/>
        <v>#DIV/0!</v>
      </c>
      <c r="K30" s="20" t="e">
        <f t="shared" si="8"/>
        <v>#DIV/0!</v>
      </c>
      <c r="T30" s="23"/>
      <c r="U30" s="23"/>
      <c r="V30" s="19"/>
      <c r="W30" s="19"/>
      <c r="X30" s="19"/>
      <c r="Y30" s="19"/>
    </row>
    <row r="31" spans="1:25" s="2" customFormat="1" x14ac:dyDescent="0.25">
      <c r="A31" t="s">
        <v>98</v>
      </c>
      <c r="B31" s="20"/>
      <c r="C31" s="20" t="e">
        <f>(C10+C8)/AVERAGE('Data Sheet'!B61:C61)</f>
        <v>#DIV/0!</v>
      </c>
      <c r="D31" s="20" t="e">
        <f>(D10+D8)/AVERAGE('Data Sheet'!C61:D61)</f>
        <v>#DIV/0!</v>
      </c>
      <c r="E31" s="20" t="e">
        <f>(E10+E8)/AVERAGE('Data Sheet'!D61:E61)</f>
        <v>#DIV/0!</v>
      </c>
      <c r="F31" s="20" t="e">
        <f>(F10+F8)/AVERAGE('Data Sheet'!E61:F61)</f>
        <v>#DIV/0!</v>
      </c>
      <c r="G31" s="20" t="e">
        <f>(G10+G8)/AVERAGE('Data Sheet'!F61:G61)</f>
        <v>#DIV/0!</v>
      </c>
      <c r="H31" s="20" t="e">
        <f>(H10+H8)/AVERAGE('Data Sheet'!G61:H61)</f>
        <v>#DIV/0!</v>
      </c>
      <c r="I31" s="20" t="e">
        <f>(I10+I8)/AVERAGE('Data Sheet'!H61:I61)</f>
        <v>#DIV/0!</v>
      </c>
      <c r="J31" s="20" t="e">
        <f>(J10+J8)/AVERAGE('Data Sheet'!I61:J61)</f>
        <v>#DIV/0!</v>
      </c>
      <c r="K31" s="20" t="e">
        <f>(K10+K8)/AVERAGE('Data Sheet'!J61:K61)</f>
        <v>#DIV/0!</v>
      </c>
      <c r="T31" s="23"/>
      <c r="U31" s="23"/>
      <c r="V31" s="19"/>
      <c r="W31" s="19"/>
      <c r="X31" s="19"/>
      <c r="Y31" s="19"/>
    </row>
    <row r="32" spans="1:25" s="2" customFormat="1" x14ac:dyDescent="0.25">
      <c r="A32" t="s">
        <v>99</v>
      </c>
      <c r="B32"/>
      <c r="C32"/>
      <c r="D32"/>
      <c r="E32" s="26" t="e">
        <f t="shared" ref="E32:K32" si="9">+(E13-B13)/SUM(B45:D45)</f>
        <v>#DIV/0!</v>
      </c>
      <c r="F32" s="26" t="e">
        <f t="shared" si="9"/>
        <v>#DIV/0!</v>
      </c>
      <c r="G32" s="26" t="e">
        <f t="shared" si="9"/>
        <v>#DIV/0!</v>
      </c>
      <c r="H32" s="26" t="e">
        <f t="shared" si="9"/>
        <v>#DIV/0!</v>
      </c>
      <c r="I32" s="26" t="e">
        <f t="shared" si="9"/>
        <v>#DIV/0!</v>
      </c>
      <c r="J32" s="26" t="e">
        <f t="shared" si="9"/>
        <v>#DIV/0!</v>
      </c>
      <c r="K32" s="26" t="e">
        <f t="shared" si="9"/>
        <v>#DIV/0!</v>
      </c>
      <c r="T32" s="23"/>
      <c r="U32" s="23"/>
      <c r="V32" s="19"/>
      <c r="W32" s="19"/>
      <c r="X32" s="19"/>
      <c r="Y32" s="19"/>
    </row>
    <row r="33" spans="1:25" s="2" customFormat="1" x14ac:dyDescent="0.25">
      <c r="T33" s="23"/>
      <c r="U33" s="23"/>
      <c r="V33" s="19"/>
      <c r="W33" s="19"/>
      <c r="X33" s="19"/>
      <c r="Y33" s="19"/>
    </row>
    <row r="34" spans="1:25" s="2" customFormat="1" x14ac:dyDescent="0.25">
      <c r="A34" t="s">
        <v>100</v>
      </c>
      <c r="B34" s="17"/>
      <c r="C34" s="4" t="e">
        <f>+'Data Sheet'!C17/(('Data Sheet'!B62+'Data Sheet'!C62)/2)</f>
        <v>#DIV/0!</v>
      </c>
      <c r="D34" s="4" t="e">
        <f>+'Data Sheet'!D17/(('Data Sheet'!C62+'Data Sheet'!D62)/2)</f>
        <v>#DIV/0!</v>
      </c>
      <c r="E34" s="4" t="e">
        <f>+'Data Sheet'!E17/(('Data Sheet'!D62+'Data Sheet'!E62)/2)</f>
        <v>#DIV/0!</v>
      </c>
      <c r="F34" s="4" t="e">
        <f>+'Data Sheet'!F17/(('Data Sheet'!E62+'Data Sheet'!F62)/2)</f>
        <v>#DIV/0!</v>
      </c>
      <c r="G34" s="4" t="e">
        <f>+'Data Sheet'!G17/(('Data Sheet'!F62+'Data Sheet'!G62)/2)</f>
        <v>#DIV/0!</v>
      </c>
      <c r="H34" s="4" t="e">
        <f>+'Data Sheet'!H17/(('Data Sheet'!G62+'Data Sheet'!H62)/2)</f>
        <v>#DIV/0!</v>
      </c>
      <c r="I34" s="4" t="e">
        <f>+'Data Sheet'!I17/(('Data Sheet'!H62+'Data Sheet'!I62)/2)</f>
        <v>#DIV/0!</v>
      </c>
      <c r="J34" s="4" t="e">
        <f>+'Data Sheet'!J17/(('Data Sheet'!I62+'Data Sheet'!J62)/2)</f>
        <v>#DIV/0!</v>
      </c>
      <c r="K34" s="4" t="e">
        <f>+'Data Sheet'!K17/(('Data Sheet'!J62+'Data Sheet'!K62)/2)</f>
        <v>#DIV/0!</v>
      </c>
      <c r="Q34" s="19"/>
      <c r="R34" s="19"/>
      <c r="S34" s="19"/>
      <c r="T34" s="19"/>
      <c r="U34" s="19"/>
      <c r="V34" s="19"/>
      <c r="W34" s="19"/>
      <c r="X34" s="19"/>
      <c r="Y34" s="19"/>
    </row>
    <row r="35" spans="1:25" s="2" customFormat="1" x14ac:dyDescent="0.25">
      <c r="A35" t="s">
        <v>101</v>
      </c>
      <c r="B35" s="17"/>
      <c r="C35" s="17" t="e">
        <f>365/('Data Sheet'!C17/AVERAGE('Data Sheet'!B67:C67))</f>
        <v>#DIV/0!</v>
      </c>
      <c r="D35" s="17" t="e">
        <f>365/('Data Sheet'!D17/AVERAGE('Data Sheet'!C67:D67))</f>
        <v>#DIV/0!</v>
      </c>
      <c r="E35" s="17" t="e">
        <f>365/('Data Sheet'!E17/AVERAGE('Data Sheet'!D67:E67))</f>
        <v>#DIV/0!</v>
      </c>
      <c r="F35" s="17" t="e">
        <f>365/('Data Sheet'!F17/AVERAGE('Data Sheet'!E67:F67))</f>
        <v>#DIV/0!</v>
      </c>
      <c r="G35" s="17" t="e">
        <f>365/('Data Sheet'!G17/AVERAGE('Data Sheet'!F67:G67))</f>
        <v>#DIV/0!</v>
      </c>
      <c r="H35" s="17" t="e">
        <f>365/('Data Sheet'!H17/AVERAGE('Data Sheet'!G67:H67))</f>
        <v>#DIV/0!</v>
      </c>
      <c r="I35" s="17" t="e">
        <f>365/('Data Sheet'!I17/AVERAGE('Data Sheet'!H67:I67))</f>
        <v>#DIV/0!</v>
      </c>
      <c r="J35" s="17" t="e">
        <f>365/('Data Sheet'!J17/AVERAGE('Data Sheet'!I67:J67))</f>
        <v>#DIV/0!</v>
      </c>
      <c r="K35" s="17" t="e">
        <f>365/('Data Sheet'!K17/AVERAGE('Data Sheet'!J67:K67))</f>
        <v>#DIV/0!</v>
      </c>
      <c r="Q35" s="19"/>
      <c r="R35" s="19"/>
      <c r="S35" s="19"/>
      <c r="T35" s="19"/>
      <c r="U35" s="19"/>
      <c r="V35" s="19"/>
      <c r="W35" s="19"/>
      <c r="X35" s="19"/>
      <c r="Y35" s="19"/>
    </row>
    <row r="36" spans="1:25" s="2" customFormat="1" x14ac:dyDescent="0.25">
      <c r="A36" t="s">
        <v>102</v>
      </c>
      <c r="B36" s="17"/>
      <c r="C36" s="42" t="e">
        <f>'Data Sheet'!C17/(AVERAGE('Data Sheet'!B68:C68))</f>
        <v>#DIV/0!</v>
      </c>
      <c r="D36" s="42" t="e">
        <f>'Data Sheet'!D17/(AVERAGE('Data Sheet'!C68:D68))</f>
        <v>#DIV/0!</v>
      </c>
      <c r="E36" s="42" t="e">
        <f>'Data Sheet'!E17/(AVERAGE('Data Sheet'!D68:E68))</f>
        <v>#DIV/0!</v>
      </c>
      <c r="F36" s="42" t="e">
        <f>'Data Sheet'!F17/(AVERAGE('Data Sheet'!E68:F68))</f>
        <v>#DIV/0!</v>
      </c>
      <c r="G36" s="42" t="e">
        <f>'Data Sheet'!G17/(AVERAGE('Data Sheet'!F68:G68))</f>
        <v>#DIV/0!</v>
      </c>
      <c r="H36" s="42" t="e">
        <f>'Data Sheet'!H17/(AVERAGE('Data Sheet'!G68:H68))</f>
        <v>#DIV/0!</v>
      </c>
      <c r="I36" s="42" t="e">
        <f>'Data Sheet'!I17/(AVERAGE('Data Sheet'!H68:I68))</f>
        <v>#DIV/0!</v>
      </c>
      <c r="J36" s="42" t="e">
        <f>'Data Sheet'!J17/(AVERAGE('Data Sheet'!I68:J68))</f>
        <v>#DIV/0!</v>
      </c>
      <c r="K36" s="42" t="e">
        <f>'Data Sheet'!K17/(AVERAGE('Data Sheet'!J68:K68))</f>
        <v>#DIV/0!</v>
      </c>
      <c r="Q36" s="19"/>
      <c r="R36" s="19"/>
      <c r="S36" s="19"/>
      <c r="T36" s="19"/>
      <c r="U36" s="19"/>
      <c r="V36" s="19"/>
      <c r="W36" s="19"/>
      <c r="X36" s="19"/>
      <c r="Y36" s="19"/>
    </row>
    <row r="37" spans="1:25" s="2" customFormat="1" x14ac:dyDescent="0.25">
      <c r="A37" t="s">
        <v>158</v>
      </c>
      <c r="B37" s="17"/>
      <c r="C37" s="42" t="e">
        <f>(365/('Data Sheet'!C18/(AVERAGE('Data Sheet'!B68:C68))))/30</f>
        <v>#DIV/0!</v>
      </c>
      <c r="D37" s="42" t="e">
        <f>(365/('Data Sheet'!D18/(AVERAGE('Data Sheet'!C68:D68))))/30</f>
        <v>#DIV/0!</v>
      </c>
      <c r="E37" s="42" t="e">
        <f>(365/('Data Sheet'!E18/(AVERAGE('Data Sheet'!D68:E68))))/30</f>
        <v>#DIV/0!</v>
      </c>
      <c r="F37" s="42" t="e">
        <f>(365/('Data Sheet'!F18/(AVERAGE('Data Sheet'!E68:F68))))/30</f>
        <v>#DIV/0!</v>
      </c>
      <c r="G37" s="42" t="e">
        <f>(365/('Data Sheet'!G18/(AVERAGE('Data Sheet'!F68:G68))))/30</f>
        <v>#DIV/0!</v>
      </c>
      <c r="H37" s="42" t="e">
        <f>(365/('Data Sheet'!H18/(AVERAGE('Data Sheet'!G68:H68))))/30</f>
        <v>#DIV/0!</v>
      </c>
      <c r="I37" s="42" t="e">
        <f>(365/('Data Sheet'!I18/(AVERAGE('Data Sheet'!H68:I68))))/30</f>
        <v>#DIV/0!</v>
      </c>
      <c r="J37" s="42" t="e">
        <f>(365/('Data Sheet'!J18/(AVERAGE('Data Sheet'!I68:J68))))/30</f>
        <v>#DIV/0!</v>
      </c>
      <c r="K37" s="42" t="e">
        <f>(365/('Data Sheet'!K18/(AVERAGE('Data Sheet'!J68:K68))))/30</f>
        <v>#DIV/0!</v>
      </c>
      <c r="Q37" s="19"/>
      <c r="R37" s="19"/>
      <c r="S37" s="19"/>
      <c r="T37" s="19"/>
      <c r="U37" s="19"/>
      <c r="V37" s="19"/>
      <c r="W37" s="19"/>
      <c r="X37" s="19"/>
      <c r="Y37" s="19"/>
    </row>
    <row r="38" spans="1:25" s="2" customFormat="1" x14ac:dyDescent="0.25">
      <c r="A38" t="s">
        <v>103</v>
      </c>
      <c r="B38" s="17"/>
      <c r="C38" s="17" t="e">
        <f t="shared" ref="C38:K38" si="10">+C35+365/C36</f>
        <v>#DIV/0!</v>
      </c>
      <c r="D38" s="17" t="e">
        <f t="shared" si="10"/>
        <v>#DIV/0!</v>
      </c>
      <c r="E38" s="17" t="e">
        <f t="shared" si="10"/>
        <v>#DIV/0!</v>
      </c>
      <c r="F38" s="17" t="e">
        <f t="shared" si="10"/>
        <v>#DIV/0!</v>
      </c>
      <c r="G38" s="17" t="e">
        <f t="shared" si="10"/>
        <v>#DIV/0!</v>
      </c>
      <c r="H38" s="17" t="e">
        <f t="shared" si="10"/>
        <v>#DIV/0!</v>
      </c>
      <c r="I38" s="17" t="e">
        <f t="shared" si="10"/>
        <v>#DIV/0!</v>
      </c>
      <c r="J38" s="17" t="e">
        <f t="shared" si="10"/>
        <v>#DIV/0!</v>
      </c>
      <c r="K38" s="17" t="e">
        <f t="shared" si="10"/>
        <v>#DIV/0!</v>
      </c>
      <c r="Q38" s="19"/>
      <c r="R38" s="19"/>
      <c r="S38" s="19"/>
      <c r="T38" s="19"/>
      <c r="U38" s="19"/>
      <c r="V38" s="19"/>
      <c r="W38" s="19"/>
      <c r="X38" s="19"/>
      <c r="Y38" s="19"/>
    </row>
    <row r="39" spans="1:25" s="2" customFormat="1" x14ac:dyDescent="0.25">
      <c r="A39"/>
      <c r="B39" s="17"/>
      <c r="C39" s="17"/>
      <c r="D39" s="17"/>
      <c r="E39" s="17"/>
      <c r="F39" s="17"/>
      <c r="G39" s="17"/>
      <c r="H39" s="17"/>
      <c r="I39" s="17"/>
      <c r="J39" s="17"/>
      <c r="K39" s="17"/>
      <c r="T39" s="19"/>
      <c r="U39" s="19"/>
      <c r="V39" s="19"/>
      <c r="W39" s="19"/>
      <c r="X39" s="19"/>
      <c r="Y39" s="19"/>
    </row>
    <row r="40" spans="1:25" s="2" customFormat="1" x14ac:dyDescent="0.25">
      <c r="A40" t="s">
        <v>104</v>
      </c>
      <c r="B40" s="21">
        <f>+'Data Sheet'!B62</f>
        <v>0</v>
      </c>
      <c r="C40" s="21">
        <f>+'Data Sheet'!C62</f>
        <v>0</v>
      </c>
      <c r="D40" s="21">
        <f>+'Data Sheet'!D62</f>
        <v>0</v>
      </c>
      <c r="E40" s="21">
        <f>+'Data Sheet'!E62</f>
        <v>0</v>
      </c>
      <c r="F40" s="21">
        <f>+'Data Sheet'!F62</f>
        <v>0</v>
      </c>
      <c r="G40" s="21">
        <f>+'Data Sheet'!G62</f>
        <v>0</v>
      </c>
      <c r="H40" s="21">
        <f>+'Data Sheet'!H62</f>
        <v>0</v>
      </c>
      <c r="I40" s="21">
        <f>+'Data Sheet'!I62</f>
        <v>0</v>
      </c>
      <c r="J40" s="21">
        <f>+'Data Sheet'!J62</f>
        <v>0</v>
      </c>
      <c r="K40" s="21">
        <f>+'Data Sheet'!K62</f>
        <v>0</v>
      </c>
      <c r="T40" s="19"/>
      <c r="U40" s="19"/>
      <c r="V40" s="19"/>
      <c r="W40" s="19"/>
      <c r="X40" s="19"/>
      <c r="Y40" s="19"/>
    </row>
    <row r="41" spans="1:25" s="2" customFormat="1" x14ac:dyDescent="0.25">
      <c r="A41" t="s">
        <v>105</v>
      </c>
      <c r="B41" s="21">
        <f>+'Data Sheet'!B63</f>
        <v>0</v>
      </c>
      <c r="C41" s="21">
        <f>+'Data Sheet'!C63</f>
        <v>0</v>
      </c>
      <c r="D41" s="21">
        <f>+'Data Sheet'!D63</f>
        <v>0</v>
      </c>
      <c r="E41" s="21">
        <f>+'Data Sheet'!E63</f>
        <v>0</v>
      </c>
      <c r="F41" s="21">
        <f>+'Data Sheet'!F63</f>
        <v>0</v>
      </c>
      <c r="G41" s="21">
        <f>+'Data Sheet'!G63</f>
        <v>0</v>
      </c>
      <c r="H41" s="21">
        <f>+'Data Sheet'!H63</f>
        <v>0</v>
      </c>
      <c r="I41" s="21">
        <f>+'Data Sheet'!I63</f>
        <v>0</v>
      </c>
      <c r="J41" s="21">
        <f>+'Data Sheet'!J63</f>
        <v>0</v>
      </c>
      <c r="K41" s="21">
        <f>+'Data Sheet'!K63</f>
        <v>0</v>
      </c>
      <c r="L41" s="23"/>
      <c r="P41" s="23"/>
      <c r="Q41" s="23"/>
      <c r="R41" s="23"/>
      <c r="S41" s="23"/>
      <c r="T41" s="23"/>
      <c r="U41" s="23"/>
      <c r="V41" s="19"/>
      <c r="W41" s="19"/>
      <c r="X41" s="19"/>
      <c r="Y41" s="19"/>
    </row>
    <row r="42" spans="1:25" x14ac:dyDescent="0.25">
      <c r="B42" s="31"/>
      <c r="C42" s="31"/>
      <c r="D42" s="31"/>
      <c r="E42" s="31"/>
      <c r="F42" s="31"/>
      <c r="G42" s="31"/>
      <c r="H42" s="31"/>
      <c r="I42" s="31"/>
      <c r="J42" s="31"/>
      <c r="K42" s="31"/>
      <c r="L42" s="21"/>
      <c r="T42" s="23"/>
      <c r="U42" s="23"/>
      <c r="V42" s="23"/>
      <c r="W42" s="23"/>
      <c r="X42" s="23"/>
      <c r="Y42" s="23"/>
    </row>
    <row r="43" spans="1:25" x14ac:dyDescent="0.25">
      <c r="A43" t="s">
        <v>88</v>
      </c>
      <c r="B43" s="17">
        <f>+'Data Sheet'!B31</f>
        <v>0</v>
      </c>
      <c r="C43" s="17">
        <f>+'Data Sheet'!C31</f>
        <v>0</v>
      </c>
      <c r="D43" s="17">
        <f>+'Data Sheet'!D31</f>
        <v>0</v>
      </c>
      <c r="E43" s="17">
        <f>+'Data Sheet'!E31</f>
        <v>0</v>
      </c>
      <c r="F43" s="17">
        <f>+'Data Sheet'!F31</f>
        <v>0</v>
      </c>
      <c r="G43" s="17">
        <f>+'Data Sheet'!G31</f>
        <v>0</v>
      </c>
      <c r="H43" s="17">
        <f>+'Data Sheet'!H31</f>
        <v>0</v>
      </c>
      <c r="I43" s="17">
        <f>+'Data Sheet'!I31</f>
        <v>0</v>
      </c>
      <c r="J43" s="17">
        <f>+'Data Sheet'!J31</f>
        <v>0</v>
      </c>
      <c r="K43" s="17">
        <f>+'Data Sheet'!K31</f>
        <v>0</v>
      </c>
      <c r="L43" s="20"/>
      <c r="M43" s="41">
        <f>+SUM(B43:K43)</f>
        <v>0</v>
      </c>
      <c r="N43" s="19" t="s">
        <v>166</v>
      </c>
      <c r="O43" s="20" t="str">
        <f>IF(B43=0,"",POWER($K43/B43,1/9)-1)</f>
        <v/>
      </c>
      <c r="P43" s="20" t="str">
        <f>IF(D43=0,"",POWER($K43/D43,1/7)-1)</f>
        <v/>
      </c>
      <c r="Q43" s="20" t="str">
        <f>IF(F43=0,"",POWER($K43/F43,1/5)-1)</f>
        <v/>
      </c>
      <c r="R43" s="20" t="str">
        <f>IF(H43=0,"",POWER($K43/H43, 1/3)-1)</f>
        <v/>
      </c>
      <c r="S43" s="20" t="str">
        <f>IF(ISERROR(MAX(IF(J43=0,"",(K43-J43)/J43),IF(K43=0,"",(#REF!-K43)/K43))),"",MAX(IF(J43=0,"",(K43-J43)/J43),IF(K43=0,"",(#REF!-K43)/K43)))</f>
        <v/>
      </c>
      <c r="T43" s="23"/>
      <c r="U43" s="23"/>
      <c r="V43" s="23"/>
      <c r="W43" s="23"/>
      <c r="X43" s="23"/>
      <c r="Y43" s="23"/>
    </row>
    <row r="44" spans="1:25" x14ac:dyDescent="0.25">
      <c r="A44" t="s">
        <v>106</v>
      </c>
      <c r="B44" s="20" t="e">
        <f>+'Data Sheet'!B31/'Data Sheet'!B30</f>
        <v>#DIV/0!</v>
      </c>
      <c r="C44" s="20" t="e">
        <f>+'Data Sheet'!C31/'Data Sheet'!C30</f>
        <v>#DIV/0!</v>
      </c>
      <c r="D44" s="20" t="e">
        <f>+'Data Sheet'!D31/'Data Sheet'!D30</f>
        <v>#DIV/0!</v>
      </c>
      <c r="E44" s="20" t="e">
        <f>+'Data Sheet'!E31/'Data Sheet'!E30</f>
        <v>#DIV/0!</v>
      </c>
      <c r="F44" s="20" t="e">
        <f>+'Data Sheet'!F31/'Data Sheet'!F30</f>
        <v>#DIV/0!</v>
      </c>
      <c r="G44" s="20" t="e">
        <f>+'Data Sheet'!G31/'Data Sheet'!G30</f>
        <v>#DIV/0!</v>
      </c>
      <c r="H44" s="20" t="e">
        <f>+'Data Sheet'!H31/'Data Sheet'!H30</f>
        <v>#DIV/0!</v>
      </c>
      <c r="I44" s="20" t="e">
        <f>+'Data Sheet'!I31/'Data Sheet'!I30</f>
        <v>#DIV/0!</v>
      </c>
      <c r="J44" s="20" t="e">
        <f>+'Data Sheet'!J31/'Data Sheet'!J30</f>
        <v>#DIV/0!</v>
      </c>
      <c r="K44" s="20" t="e">
        <f>+'Data Sheet'!K31/'Data Sheet'!K30</f>
        <v>#DIV/0!</v>
      </c>
      <c r="P44" s="19"/>
      <c r="Q44" s="19"/>
      <c r="R44" s="19"/>
      <c r="S44" s="2"/>
      <c r="T44" s="19"/>
      <c r="U44" s="19"/>
      <c r="V44" s="23"/>
      <c r="W44" s="23"/>
      <c r="X44" s="23"/>
      <c r="Y44" s="23"/>
    </row>
    <row r="45" spans="1:25" s="2" customFormat="1" x14ac:dyDescent="0.25">
      <c r="A45" t="s">
        <v>107</v>
      </c>
      <c r="B45" s="21">
        <f>+'Data Sheet'!B30-'Data Sheet'!B31</f>
        <v>0</v>
      </c>
      <c r="C45" s="21">
        <f>+'Data Sheet'!C30-'Data Sheet'!C31</f>
        <v>0</v>
      </c>
      <c r="D45" s="21">
        <f>+'Data Sheet'!D30-'Data Sheet'!D31</f>
        <v>0</v>
      </c>
      <c r="E45" s="21">
        <f>+'Data Sheet'!E30-'Data Sheet'!E31</f>
        <v>0</v>
      </c>
      <c r="F45" s="21">
        <f>+'Data Sheet'!F30-'Data Sheet'!F31</f>
        <v>0</v>
      </c>
      <c r="G45" s="21">
        <f>+'Data Sheet'!G30-'Data Sheet'!G31</f>
        <v>0</v>
      </c>
      <c r="H45" s="21">
        <f>+'Data Sheet'!H30-'Data Sheet'!H31</f>
        <v>0</v>
      </c>
      <c r="I45" s="21">
        <f>+'Data Sheet'!I30-'Data Sheet'!I31</f>
        <v>0</v>
      </c>
      <c r="J45" s="21">
        <f>+'Data Sheet'!J30-'Data Sheet'!J31</f>
        <v>0</v>
      </c>
      <c r="K45" s="21">
        <f>+'Data Sheet'!K30-'Data Sheet'!K31</f>
        <v>0</v>
      </c>
      <c r="P45" s="19"/>
      <c r="Q45" s="19"/>
      <c r="R45" s="19"/>
      <c r="T45" s="19"/>
      <c r="U45" s="19"/>
      <c r="V45" s="19"/>
      <c r="W45" s="19"/>
      <c r="X45" s="19"/>
      <c r="Y45" s="19"/>
    </row>
    <row r="46" spans="1:25" s="2" customFormat="1" x14ac:dyDescent="0.25">
      <c r="A46" t="s">
        <v>11</v>
      </c>
      <c r="B46" s="17" t="e">
        <f t="shared" ref="B46:K46" si="11">IF(+B47/B13&lt;=0,0,B47/B13)</f>
        <v>#DIV/0!</v>
      </c>
      <c r="C46" s="17" t="e">
        <f t="shared" si="11"/>
        <v>#DIV/0!</v>
      </c>
      <c r="D46" s="17" t="e">
        <f t="shared" si="11"/>
        <v>#DIV/0!</v>
      </c>
      <c r="E46" s="17" t="e">
        <f t="shared" si="11"/>
        <v>#DIV/0!</v>
      </c>
      <c r="F46" s="17" t="e">
        <f t="shared" si="11"/>
        <v>#DIV/0!</v>
      </c>
      <c r="G46" s="17" t="e">
        <f t="shared" si="11"/>
        <v>#DIV/0!</v>
      </c>
      <c r="H46" s="17" t="e">
        <f t="shared" si="11"/>
        <v>#DIV/0!</v>
      </c>
      <c r="I46" s="17" t="e">
        <f t="shared" si="11"/>
        <v>#DIV/0!</v>
      </c>
      <c r="J46" s="17" t="e">
        <f t="shared" si="11"/>
        <v>#DIV/0!</v>
      </c>
      <c r="K46" s="17" t="e">
        <f t="shared" si="11"/>
        <v>#DIV/0!</v>
      </c>
      <c r="N46" s="61" t="s">
        <v>67</v>
      </c>
      <c r="O46" s="25" t="str">
        <f>IF(ISERROR(AVERAGEIF(B46:$L46,"&gt;0")),"",AVERAGEIF(B46:$L46,"&gt;0"))</f>
        <v/>
      </c>
      <c r="P46" s="25" t="str">
        <f>IF(ISERROR(AVERAGEIF(E46:$L46,"&gt;0")),"",AVERAGEIF(E46:$L46,"&gt;0"))</f>
        <v/>
      </c>
      <c r="Q46" s="25" t="str">
        <f>IF(ISERROR(AVERAGEIF(G46:$L46,"&gt;0")),"",AVERAGEIF(G46:$L46,"&gt;0"))</f>
        <v/>
      </c>
      <c r="R46" s="25" t="str">
        <f>IF(ISERROR(AVERAGEIF(I46:$L46,"&gt;0")),"",AVERAGEIF(I46:$L46,"&gt;0"))</f>
        <v/>
      </c>
      <c r="S46" s="25" t="str">
        <f>IF(N68=TRUE,"",O12)</f>
        <v/>
      </c>
      <c r="T46" s="19"/>
      <c r="U46" s="19"/>
      <c r="V46" s="19"/>
      <c r="W46" s="19"/>
      <c r="X46" s="19"/>
      <c r="Y46" s="19"/>
    </row>
    <row r="47" spans="1:25" s="2" customFormat="1" x14ac:dyDescent="0.25">
      <c r="A47" s="2" t="s">
        <v>47</v>
      </c>
      <c r="B47" s="18">
        <f>+'Data Sheet'!B90*'Data Sheet'!B93</f>
        <v>0</v>
      </c>
      <c r="C47" s="18">
        <f>+'Data Sheet'!C90*'Data Sheet'!C93</f>
        <v>0</v>
      </c>
      <c r="D47" s="18">
        <f>+'Data Sheet'!D90*'Data Sheet'!D93</f>
        <v>0</v>
      </c>
      <c r="E47" s="18">
        <f>+'Data Sheet'!E90*'Data Sheet'!E93</f>
        <v>0</v>
      </c>
      <c r="F47" s="18">
        <f>+'Data Sheet'!F90*'Data Sheet'!F93</f>
        <v>0</v>
      </c>
      <c r="G47" s="18">
        <f>+'Data Sheet'!G90*'Data Sheet'!G93</f>
        <v>0</v>
      </c>
      <c r="H47" s="18">
        <f>+'Data Sheet'!H90*'Data Sheet'!H93</f>
        <v>0</v>
      </c>
      <c r="I47" s="18">
        <f>+'Data Sheet'!I90*'Data Sheet'!I93</f>
        <v>0</v>
      </c>
      <c r="J47" s="18">
        <f>+'Data Sheet'!J90*'Data Sheet'!J93</f>
        <v>0</v>
      </c>
      <c r="K47" s="18">
        <f>+'Data Sheet'!K90*'Data Sheet'!K93</f>
        <v>0</v>
      </c>
      <c r="L47" s="18">
        <f>+'Data Sheet'!B9</f>
        <v>0</v>
      </c>
      <c r="M47" s="34"/>
      <c r="T47" s="19"/>
      <c r="U47" s="19"/>
      <c r="V47" s="19"/>
      <c r="W47" s="19"/>
      <c r="X47" s="19"/>
      <c r="Y47" s="19"/>
    </row>
    <row r="48" spans="1:25" s="2" customFormat="1" x14ac:dyDescent="0.25">
      <c r="A48" t="s">
        <v>89</v>
      </c>
      <c r="B48" s="21">
        <f>+'Data Sheet'!B69+'Data Sheet'!B64</f>
        <v>0</v>
      </c>
      <c r="C48" s="21">
        <f>+'Data Sheet'!C69+'Data Sheet'!C64</f>
        <v>0</v>
      </c>
      <c r="D48" s="21">
        <f>+'Data Sheet'!D69+'Data Sheet'!D64</f>
        <v>0</v>
      </c>
      <c r="E48" s="21">
        <f>+'Data Sheet'!E69+'Data Sheet'!E64</f>
        <v>0</v>
      </c>
      <c r="F48" s="21">
        <f>+'Data Sheet'!F69+'Data Sheet'!F64</f>
        <v>0</v>
      </c>
      <c r="G48" s="21">
        <f>+'Data Sheet'!G69+'Data Sheet'!G64</f>
        <v>0</v>
      </c>
      <c r="H48" s="21">
        <f>+'Data Sheet'!H69+'Data Sheet'!H64</f>
        <v>0</v>
      </c>
      <c r="I48" s="21">
        <f>+'Data Sheet'!I69+'Data Sheet'!I64</f>
        <v>0</v>
      </c>
      <c r="J48" s="21">
        <f>+'Data Sheet'!J69+'Data Sheet'!J64</f>
        <v>0</v>
      </c>
      <c r="K48" s="21">
        <f>+'Data Sheet'!K69+'Data Sheet'!K64</f>
        <v>0</v>
      </c>
      <c r="L48" s="21">
        <f>+K48</f>
        <v>0</v>
      </c>
      <c r="T48" s="19"/>
      <c r="U48" s="19"/>
      <c r="V48" s="19"/>
      <c r="W48" s="19"/>
      <c r="X48" s="19"/>
      <c r="Y48" s="19"/>
    </row>
    <row r="49" spans="1:25" s="2" customFormat="1" x14ac:dyDescent="0.25">
      <c r="T49" s="23"/>
      <c r="U49" s="23"/>
      <c r="V49" s="19"/>
      <c r="W49" s="19"/>
      <c r="X49" s="19"/>
      <c r="Y49" s="19"/>
    </row>
    <row r="50" spans="1:25" x14ac:dyDescent="0.25">
      <c r="A50" s="2" t="s">
        <v>83</v>
      </c>
      <c r="B50" s="36">
        <f>+'Data Sheet'!B59</f>
        <v>0</v>
      </c>
      <c r="C50" s="18">
        <f>+'Data Sheet'!C59</f>
        <v>0</v>
      </c>
      <c r="D50" s="18">
        <f>+'Data Sheet'!D59</f>
        <v>0</v>
      </c>
      <c r="E50" s="18">
        <f>+'Data Sheet'!E59</f>
        <v>0</v>
      </c>
      <c r="F50" s="18">
        <f>+'Data Sheet'!F59</f>
        <v>0</v>
      </c>
      <c r="G50" s="18">
        <f>+'Data Sheet'!G59</f>
        <v>0</v>
      </c>
      <c r="H50" s="18">
        <f>+'Data Sheet'!H59</f>
        <v>0</v>
      </c>
      <c r="I50" s="18">
        <f>+'Data Sheet'!I59</f>
        <v>0</v>
      </c>
      <c r="J50" s="18">
        <f>+'Data Sheet'!J59</f>
        <v>0</v>
      </c>
      <c r="K50" s="18">
        <f>+'Data Sheet'!K59</f>
        <v>0</v>
      </c>
      <c r="L50" s="2"/>
      <c r="M50" s="2"/>
      <c r="N50" s="19" t="s">
        <v>108</v>
      </c>
      <c r="O50" s="20" t="str">
        <f>IF(B50=0,"",POWER($K50/B50,1/9)-1)</f>
        <v/>
      </c>
      <c r="P50" s="20" t="str">
        <f>IF(D50=0,"",POWER($K50/D50,1/7)-1)</f>
        <v/>
      </c>
      <c r="Q50" s="20" t="str">
        <f>IF(F50=0,"",POWER($K50/F50,1/5)-1)</f>
        <v/>
      </c>
      <c r="R50" s="20" t="str">
        <f>IF(H50=0,"",POWER($K50/H50, 1/3)-1)</f>
        <v/>
      </c>
      <c r="S50" s="20" t="str">
        <f>IF(ISERROR(MAX(IF(J50=0,"",(K50-J50)/J50),IF(K50=0,"",(L50-K50)/K50))),"",MAX(IF(J50=0,"",(K50-J50)/J50),IF(K50=0,"",(L50-K50)/K50)))</f>
        <v/>
      </c>
      <c r="T50" s="19"/>
      <c r="U50" s="19"/>
      <c r="V50" s="23"/>
      <c r="W50" s="23"/>
      <c r="X50" s="23"/>
      <c r="Y50" s="23"/>
    </row>
    <row r="51" spans="1:25" s="2" customFormat="1" x14ac:dyDescent="0.25">
      <c r="A51" s="2" t="s">
        <v>109</v>
      </c>
      <c r="B51" s="21">
        <f>+'Data Sheet'!B57+'Data Sheet'!B58</f>
        <v>0</v>
      </c>
      <c r="C51" s="21">
        <f>+'Data Sheet'!C57+'Data Sheet'!C58</f>
        <v>0</v>
      </c>
      <c r="D51" s="21">
        <f>+'Data Sheet'!D57+'Data Sheet'!D58</f>
        <v>0</v>
      </c>
      <c r="E51" s="21">
        <f>+'Data Sheet'!E57+'Data Sheet'!E58</f>
        <v>0</v>
      </c>
      <c r="F51" s="21">
        <f>+'Data Sheet'!F57+'Data Sheet'!F58</f>
        <v>0</v>
      </c>
      <c r="G51" s="21">
        <f>+'Data Sheet'!G57+'Data Sheet'!G58</f>
        <v>0</v>
      </c>
      <c r="H51" s="21">
        <f>+'Data Sheet'!H57+'Data Sheet'!H58</f>
        <v>0</v>
      </c>
      <c r="I51" s="21">
        <f>+'Data Sheet'!I57+'Data Sheet'!I58</f>
        <v>0</v>
      </c>
      <c r="J51" s="21">
        <f>+'Data Sheet'!J57+'Data Sheet'!J58</f>
        <v>0</v>
      </c>
      <c r="K51" s="21">
        <f>+'Data Sheet'!K57+'Data Sheet'!K58</f>
        <v>0</v>
      </c>
      <c r="L51" s="34"/>
      <c r="M51" s="34"/>
      <c r="N51" s="19" t="s">
        <v>167</v>
      </c>
      <c r="O51" s="20" t="str">
        <f>IF(B51=0,"",POWER($K51/B51,1/9)-1)</f>
        <v/>
      </c>
      <c r="P51" s="20" t="str">
        <f>IF(D51=0,"",POWER($K51/D51,1/7)-1)</f>
        <v/>
      </c>
      <c r="Q51" s="20" t="str">
        <f>IF(F51=0,"",POWER($K51/F51,1/5)-1)</f>
        <v/>
      </c>
      <c r="R51" s="20" t="str">
        <f>IF(H51=0,"",POWER($K51/H51, 1/3)-1)</f>
        <v/>
      </c>
      <c r="S51" s="20" t="str">
        <f>IF(ISERROR(MAX(IF(J51=0,"",(K51-J51)/J51),IF(K51=0,"",(L51-K51)/K51))),"",MAX(IF(J51=0,"",(K51-J51)/J51),IF(K51=0,"",(L51-K51)/K51)))</f>
        <v/>
      </c>
      <c r="T51" s="19"/>
      <c r="U51" s="19"/>
      <c r="V51" s="19"/>
      <c r="W51" s="19"/>
      <c r="X51" s="19"/>
      <c r="Y51" s="19"/>
    </row>
    <row r="52" spans="1:25" s="2" customFormat="1" x14ac:dyDescent="0.25">
      <c r="A52" s="2" t="s">
        <v>110</v>
      </c>
      <c r="B52" s="43" t="e">
        <f t="shared" ref="B52:K52" si="12">B50/B51</f>
        <v>#DIV/0!</v>
      </c>
      <c r="C52" s="43" t="e">
        <f t="shared" si="12"/>
        <v>#DIV/0!</v>
      </c>
      <c r="D52" s="43" t="e">
        <f t="shared" si="12"/>
        <v>#DIV/0!</v>
      </c>
      <c r="E52" s="43" t="e">
        <f t="shared" si="12"/>
        <v>#DIV/0!</v>
      </c>
      <c r="F52" s="43" t="e">
        <f t="shared" si="12"/>
        <v>#DIV/0!</v>
      </c>
      <c r="G52" s="43" t="e">
        <f t="shared" si="12"/>
        <v>#DIV/0!</v>
      </c>
      <c r="H52" s="43" t="e">
        <f t="shared" si="12"/>
        <v>#DIV/0!</v>
      </c>
      <c r="I52" s="43" t="e">
        <f t="shared" si="12"/>
        <v>#DIV/0!</v>
      </c>
      <c r="J52" s="43" t="e">
        <f t="shared" si="12"/>
        <v>#DIV/0!</v>
      </c>
      <c r="K52" s="43" t="e">
        <f t="shared" si="12"/>
        <v>#DIV/0!</v>
      </c>
      <c r="L52"/>
      <c r="M52"/>
      <c r="R52" s="19"/>
      <c r="S52" s="19"/>
      <c r="T52" s="19"/>
      <c r="U52" s="19"/>
      <c r="V52" s="19"/>
      <c r="W52" s="19"/>
      <c r="X52" s="19"/>
      <c r="Y52" s="19"/>
    </row>
    <row r="53" spans="1:25" s="2" customFormat="1" x14ac:dyDescent="0.25">
      <c r="A53" s="2" t="s">
        <v>111</v>
      </c>
      <c r="B53" s="44">
        <v>0.12</v>
      </c>
      <c r="C53"/>
      <c r="D53"/>
      <c r="E53"/>
      <c r="F53"/>
      <c r="G53"/>
      <c r="H53"/>
      <c r="I53"/>
      <c r="J53"/>
      <c r="K53"/>
      <c r="L53"/>
      <c r="M53"/>
      <c r="P53"/>
      <c r="R53" s="19"/>
      <c r="S53" s="19"/>
      <c r="T53" s="19"/>
      <c r="U53" s="19"/>
      <c r="V53" s="19"/>
      <c r="W53" s="19"/>
      <c r="X53" s="19"/>
      <c r="Y53" s="19"/>
    </row>
    <row r="54" spans="1:25" s="2" customFormat="1" x14ac:dyDescent="0.25">
      <c r="A54" s="64" t="s">
        <v>93</v>
      </c>
      <c r="B54"/>
      <c r="C54" s="41">
        <f t="shared" ref="C54:K54" si="13">AVERAGE(B50:C50)*$B$53</f>
        <v>0</v>
      </c>
      <c r="D54" s="41">
        <f t="shared" si="13"/>
        <v>0</v>
      </c>
      <c r="E54" s="41">
        <f t="shared" si="13"/>
        <v>0</v>
      </c>
      <c r="F54" s="41">
        <f t="shared" si="13"/>
        <v>0</v>
      </c>
      <c r="G54" s="41">
        <f t="shared" si="13"/>
        <v>0</v>
      </c>
      <c r="H54" s="41">
        <f t="shared" si="13"/>
        <v>0</v>
      </c>
      <c r="I54" s="41">
        <f t="shared" si="13"/>
        <v>0</v>
      </c>
      <c r="J54" s="41">
        <f t="shared" si="13"/>
        <v>0</v>
      </c>
      <c r="K54" s="41">
        <f t="shared" si="13"/>
        <v>0</v>
      </c>
      <c r="L54"/>
      <c r="M54" s="41">
        <f>+SUM(C54:K54)</f>
        <v>0</v>
      </c>
      <c r="Q54" s="45"/>
      <c r="R54"/>
      <c r="S54"/>
      <c r="T54" s="19"/>
      <c r="U54" s="19"/>
      <c r="V54" s="19"/>
      <c r="W54" s="19"/>
      <c r="X54" s="19"/>
      <c r="Y54" s="19"/>
    </row>
    <row r="55" spans="1:25" s="2" customFormat="1" x14ac:dyDescent="0.25">
      <c r="A55" t="s">
        <v>112</v>
      </c>
      <c r="B55"/>
      <c r="C55" s="46" t="e">
        <f t="shared" ref="C55:K55" si="14">C4/C54</f>
        <v>#DIV/0!</v>
      </c>
      <c r="D55" s="46" t="e">
        <f t="shared" si="14"/>
        <v>#DIV/0!</v>
      </c>
      <c r="E55" s="46" t="e">
        <f t="shared" si="14"/>
        <v>#DIV/0!</v>
      </c>
      <c r="F55" s="46" t="e">
        <f t="shared" si="14"/>
        <v>#DIV/0!</v>
      </c>
      <c r="G55" s="46" t="e">
        <f t="shared" si="14"/>
        <v>#DIV/0!</v>
      </c>
      <c r="H55" s="46" t="e">
        <f t="shared" si="14"/>
        <v>#DIV/0!</v>
      </c>
      <c r="I55" s="46" t="e">
        <f t="shared" si="14"/>
        <v>#DIV/0!</v>
      </c>
      <c r="J55" s="46" t="e">
        <f t="shared" si="14"/>
        <v>#DIV/0!</v>
      </c>
      <c r="K55" s="46" t="e">
        <f t="shared" si="14"/>
        <v>#DIV/0!</v>
      </c>
      <c r="L55"/>
      <c r="M55"/>
      <c r="O55"/>
      <c r="P55" s="20"/>
      <c r="Q55" s="26"/>
      <c r="R55"/>
      <c r="S55"/>
      <c r="T55"/>
      <c r="U55"/>
      <c r="V55" s="19"/>
      <c r="W55" s="19"/>
      <c r="X55" s="19"/>
      <c r="Y55" s="19"/>
    </row>
    <row r="56" spans="1:25" x14ac:dyDescent="0.25">
      <c r="N56" s="21"/>
      <c r="P56" s="24"/>
      <c r="Q56" s="45"/>
    </row>
    <row r="57" spans="1:25" ht="15" customHeight="1" x14ac:dyDescent="0.25">
      <c r="B57" s="14">
        <f t="shared" ref="B57:K57" si="15">+B2</f>
        <v>0</v>
      </c>
      <c r="C57" s="14">
        <f t="shared" si="15"/>
        <v>0</v>
      </c>
      <c r="D57" s="14">
        <f t="shared" si="15"/>
        <v>0</v>
      </c>
      <c r="E57" s="14">
        <f t="shared" si="15"/>
        <v>0</v>
      </c>
      <c r="F57" s="14">
        <f t="shared" si="15"/>
        <v>0</v>
      </c>
      <c r="G57" s="14">
        <f t="shared" si="15"/>
        <v>0</v>
      </c>
      <c r="H57" s="14">
        <f t="shared" si="15"/>
        <v>0</v>
      </c>
      <c r="I57" s="14">
        <f t="shared" si="15"/>
        <v>0</v>
      </c>
      <c r="J57" s="14">
        <f t="shared" si="15"/>
        <v>0</v>
      </c>
      <c r="K57" s="14">
        <f t="shared" si="15"/>
        <v>0</v>
      </c>
      <c r="L57" s="14"/>
      <c r="M57" s="14" t="str">
        <f>+M2</f>
        <v>Total 10 Yr</v>
      </c>
      <c r="N57" s="19"/>
      <c r="O57" s="24"/>
      <c r="Q57" s="47"/>
    </row>
    <row r="58" spans="1:25" x14ac:dyDescent="0.25">
      <c r="A58" s="2" t="s">
        <v>77</v>
      </c>
      <c r="B58" s="18">
        <f>+'Data Sheet'!B82</f>
        <v>0</v>
      </c>
      <c r="C58" s="18">
        <f>+'Data Sheet'!C82</f>
        <v>0</v>
      </c>
      <c r="D58" s="18">
        <f>+'Data Sheet'!D82</f>
        <v>0</v>
      </c>
      <c r="E58" s="18">
        <f>+'Data Sheet'!E82</f>
        <v>0</v>
      </c>
      <c r="F58" s="18">
        <f>+'Data Sheet'!F82</f>
        <v>0</v>
      </c>
      <c r="G58" s="18">
        <f>+'Data Sheet'!G82</f>
        <v>0</v>
      </c>
      <c r="H58" s="18">
        <f>+'Data Sheet'!H82</f>
        <v>0</v>
      </c>
      <c r="I58" s="18">
        <f>+'Data Sheet'!I82</f>
        <v>0</v>
      </c>
      <c r="J58" s="18">
        <f>+'Data Sheet'!J82</f>
        <v>0</v>
      </c>
      <c r="K58" s="18">
        <f>+'Data Sheet'!K82</f>
        <v>0</v>
      </c>
      <c r="L58" s="31"/>
      <c r="M58" s="18">
        <f>SUM(B58:K58)</f>
        <v>0</v>
      </c>
      <c r="N58" s="19"/>
      <c r="O58" s="2"/>
    </row>
    <row r="59" spans="1:25" x14ac:dyDescent="0.25">
      <c r="A59" t="s">
        <v>113</v>
      </c>
      <c r="B59" s="21">
        <f>+'Data Sheet'!B83</f>
        <v>0</v>
      </c>
      <c r="C59" s="21">
        <f>+'Data Sheet'!C83</f>
        <v>0</v>
      </c>
      <c r="D59" s="21">
        <f>+'Data Sheet'!D83</f>
        <v>0</v>
      </c>
      <c r="E59" s="21">
        <f>+'Data Sheet'!E83</f>
        <v>0</v>
      </c>
      <c r="F59" s="21">
        <f>+'Data Sheet'!F83</f>
        <v>0</v>
      </c>
      <c r="G59" s="21">
        <f>+'Data Sheet'!G83</f>
        <v>0</v>
      </c>
      <c r="H59" s="21">
        <f>+'Data Sheet'!H83</f>
        <v>0</v>
      </c>
      <c r="I59" s="21">
        <f>+'Data Sheet'!I83</f>
        <v>0</v>
      </c>
      <c r="J59" s="21">
        <f>+'Data Sheet'!J83</f>
        <v>0</v>
      </c>
      <c r="K59" s="21">
        <f>+'Data Sheet'!K83</f>
        <v>0</v>
      </c>
      <c r="L59" s="27"/>
      <c r="M59" s="34">
        <f>SUM(B59:K59)</f>
        <v>0</v>
      </c>
    </row>
    <row r="60" spans="1:25" x14ac:dyDescent="0.25">
      <c r="A60" t="s">
        <v>114</v>
      </c>
      <c r="B60" s="21">
        <f>+'Data Sheet'!B84</f>
        <v>0</v>
      </c>
      <c r="C60" s="21">
        <f>+'Data Sheet'!C84</f>
        <v>0</v>
      </c>
      <c r="D60" s="21">
        <f>+'Data Sheet'!D84</f>
        <v>0</v>
      </c>
      <c r="E60" s="21">
        <f>+'Data Sheet'!E84</f>
        <v>0</v>
      </c>
      <c r="F60" s="21">
        <f>+'Data Sheet'!F84</f>
        <v>0</v>
      </c>
      <c r="G60" s="21">
        <f>+'Data Sheet'!G84</f>
        <v>0</v>
      </c>
      <c r="H60" s="21">
        <f>+'Data Sheet'!H84</f>
        <v>0</v>
      </c>
      <c r="I60" s="21">
        <f>+'Data Sheet'!I84</f>
        <v>0</v>
      </c>
      <c r="J60" s="21">
        <f>+'Data Sheet'!J84</f>
        <v>0</v>
      </c>
      <c r="K60" s="21">
        <f>+'Data Sheet'!K84</f>
        <v>0</v>
      </c>
      <c r="L60" s="27"/>
      <c r="M60" s="34">
        <f>SUM(B60:K60)</f>
        <v>0</v>
      </c>
    </row>
    <row r="61" spans="1:25" x14ac:dyDescent="0.25">
      <c r="A61" s="2" t="s">
        <v>115</v>
      </c>
      <c r="B61" s="21">
        <f>+'Data Sheet'!B85</f>
        <v>0</v>
      </c>
      <c r="C61" s="21">
        <f>+'Data Sheet'!C85</f>
        <v>0</v>
      </c>
      <c r="D61" s="21">
        <f>+'Data Sheet'!D85</f>
        <v>0</v>
      </c>
      <c r="E61" s="21">
        <f>+'Data Sheet'!E85</f>
        <v>0</v>
      </c>
      <c r="F61" s="21">
        <f>+'Data Sheet'!F85</f>
        <v>0</v>
      </c>
      <c r="G61" s="21">
        <f>+'Data Sheet'!G85</f>
        <v>0</v>
      </c>
      <c r="H61" s="21">
        <f>+'Data Sheet'!H85</f>
        <v>0</v>
      </c>
      <c r="I61" s="21">
        <f>+'Data Sheet'!I85</f>
        <v>0</v>
      </c>
      <c r="J61" s="21">
        <f>+'Data Sheet'!J85</f>
        <v>0</v>
      </c>
      <c r="K61" s="21">
        <f>+'Data Sheet'!K85</f>
        <v>0</v>
      </c>
      <c r="L61" s="27"/>
      <c r="M61" s="34">
        <f>SUM(B61:K61)</f>
        <v>0</v>
      </c>
    </row>
    <row r="62" spans="1:25" x14ac:dyDescent="0.25">
      <c r="A62" t="s">
        <v>116</v>
      </c>
      <c r="B62" s="21">
        <f>+'Data Sheet'!B69</f>
        <v>0</v>
      </c>
      <c r="C62" s="21">
        <f>+'Data Sheet'!C69</f>
        <v>0</v>
      </c>
      <c r="D62" s="21">
        <f>+'Data Sheet'!D69</f>
        <v>0</v>
      </c>
      <c r="E62" s="21">
        <f>+'Data Sheet'!E69</f>
        <v>0</v>
      </c>
      <c r="F62" s="21">
        <f>+'Data Sheet'!F69</f>
        <v>0</v>
      </c>
      <c r="G62" s="21">
        <f>+'Data Sheet'!G69</f>
        <v>0</v>
      </c>
      <c r="H62" s="21">
        <f>+'Data Sheet'!H69</f>
        <v>0</v>
      </c>
      <c r="I62" s="21">
        <f>+'Data Sheet'!I69</f>
        <v>0</v>
      </c>
      <c r="J62" s="21">
        <f>+'Data Sheet'!J69</f>
        <v>0</v>
      </c>
      <c r="K62" s="21">
        <f>+'Data Sheet'!K69</f>
        <v>0</v>
      </c>
      <c r="L62" s="27"/>
      <c r="M62" s="27"/>
    </row>
    <row r="64" spans="1:25" x14ac:dyDescent="0.25">
      <c r="A64" t="s">
        <v>165</v>
      </c>
      <c r="B64" s="21">
        <f>N17</f>
        <v>0</v>
      </c>
    </row>
    <row r="65" spans="1:14" x14ac:dyDescent="0.25">
      <c r="A65" t="s">
        <v>169</v>
      </c>
      <c r="B65" s="21">
        <f>N18</f>
        <v>0</v>
      </c>
    </row>
    <row r="66" spans="1:14" x14ac:dyDescent="0.25">
      <c r="A66" s="2" t="s">
        <v>87</v>
      </c>
      <c r="B66" s="39" t="e">
        <f>N19</f>
        <v>#DIV/0!</v>
      </c>
    </row>
    <row r="68" spans="1:14" hidden="1" x14ac:dyDescent="0.25">
      <c r="A68" t="s">
        <v>117</v>
      </c>
      <c r="B68" s="20" t="e">
        <f t="shared" ref="B68:K68" si="16">B9/B40</f>
        <v>#DIV/0!</v>
      </c>
      <c r="C68" s="20" t="e">
        <f t="shared" si="16"/>
        <v>#DIV/0!</v>
      </c>
      <c r="D68" s="20" t="e">
        <f t="shared" si="16"/>
        <v>#DIV/0!</v>
      </c>
      <c r="E68" s="20" t="e">
        <f t="shared" si="16"/>
        <v>#DIV/0!</v>
      </c>
      <c r="F68" s="20" t="e">
        <f t="shared" si="16"/>
        <v>#DIV/0!</v>
      </c>
      <c r="G68" s="20" t="e">
        <f t="shared" si="16"/>
        <v>#DIV/0!</v>
      </c>
      <c r="H68" s="20" t="e">
        <f t="shared" si="16"/>
        <v>#DIV/0!</v>
      </c>
      <c r="I68" s="20" t="e">
        <f t="shared" si="16"/>
        <v>#DIV/0!</v>
      </c>
      <c r="J68" s="20" t="e">
        <f t="shared" si="16"/>
        <v>#DIV/0!</v>
      </c>
      <c r="K68" s="20" t="e">
        <f t="shared" si="16"/>
        <v>#DIV/0!</v>
      </c>
      <c r="N68" t="b">
        <f>+OR('Data Sheet'!H49="",'Data Sheet'!I49="",'Data Sheet'!J49="",'Data Sheet'!K49="")</f>
        <v>1</v>
      </c>
    </row>
    <row r="69" spans="1:14" x14ac:dyDescent="0.25">
      <c r="A69" s="2" t="s">
        <v>118</v>
      </c>
    </row>
    <row r="70" spans="1:14" x14ac:dyDescent="0.25">
      <c r="A70" t="s">
        <v>119</v>
      </c>
      <c r="B70" s="26" t="e">
        <f>+('Data Sheet'!B18-'Data Sheet'!B19)/'Data Sheet'!B17</f>
        <v>#DIV/0!</v>
      </c>
      <c r="C70" s="26" t="e">
        <f>+('Data Sheet'!C18-'Data Sheet'!C19)/'Data Sheet'!C17</f>
        <v>#DIV/0!</v>
      </c>
      <c r="D70" s="26" t="e">
        <f>+('Data Sheet'!D18-'Data Sheet'!D19)/'Data Sheet'!D17</f>
        <v>#DIV/0!</v>
      </c>
      <c r="E70" s="26" t="e">
        <f>+('Data Sheet'!E18-'Data Sheet'!E19)/'Data Sheet'!E17</f>
        <v>#DIV/0!</v>
      </c>
      <c r="F70" s="26" t="e">
        <f>+('Data Sheet'!F18-'Data Sheet'!F19)/'Data Sheet'!F17</f>
        <v>#DIV/0!</v>
      </c>
      <c r="G70" s="26" t="e">
        <f>+('Data Sheet'!G18-'Data Sheet'!G19)/'Data Sheet'!G17</f>
        <v>#DIV/0!</v>
      </c>
      <c r="H70" s="26" t="e">
        <f>+('Data Sheet'!H18-'Data Sheet'!H19)/'Data Sheet'!H17</f>
        <v>#DIV/0!</v>
      </c>
      <c r="I70" s="26" t="e">
        <f>+('Data Sheet'!I18-'Data Sheet'!I19)/'Data Sheet'!I17</f>
        <v>#DIV/0!</v>
      </c>
      <c r="J70" s="26" t="e">
        <f>+('Data Sheet'!J18-'Data Sheet'!J19)/'Data Sheet'!J17</f>
        <v>#DIV/0!</v>
      </c>
      <c r="K70" s="26" t="e">
        <f>+('Data Sheet'!K18-'Data Sheet'!K19)/'Data Sheet'!K17</f>
        <v>#DIV/0!</v>
      </c>
    </row>
    <row r="71" spans="1:14" x14ac:dyDescent="0.25">
      <c r="A71" t="s">
        <v>120</v>
      </c>
      <c r="B71" s="26" t="e">
        <f>+'Data Sheet'!B20/'Data Sheet'!B17</f>
        <v>#DIV/0!</v>
      </c>
      <c r="C71" s="26" t="e">
        <f>+'Data Sheet'!C20/'Data Sheet'!C17</f>
        <v>#DIV/0!</v>
      </c>
      <c r="D71" s="26" t="e">
        <f>+'Data Sheet'!D20/'Data Sheet'!D17</f>
        <v>#DIV/0!</v>
      </c>
      <c r="E71" s="26" t="e">
        <f>+'Data Sheet'!E20/'Data Sheet'!E17</f>
        <v>#DIV/0!</v>
      </c>
      <c r="F71" s="26" t="e">
        <f>+'Data Sheet'!F20/'Data Sheet'!F17</f>
        <v>#DIV/0!</v>
      </c>
      <c r="G71" s="26" t="e">
        <f>+'Data Sheet'!G20/'Data Sheet'!G17</f>
        <v>#DIV/0!</v>
      </c>
      <c r="H71" s="26" t="e">
        <f>+'Data Sheet'!H20/'Data Sheet'!H17</f>
        <v>#DIV/0!</v>
      </c>
      <c r="I71" s="26" t="e">
        <f>+'Data Sheet'!I20/'Data Sheet'!I17</f>
        <v>#DIV/0!</v>
      </c>
      <c r="J71" s="26" t="e">
        <f>+'Data Sheet'!J20/'Data Sheet'!J17</f>
        <v>#DIV/0!</v>
      </c>
      <c r="K71" s="26" t="e">
        <f>+'Data Sheet'!K20/'Data Sheet'!K17</f>
        <v>#DIV/0!</v>
      </c>
    </row>
    <row r="72" spans="1:14" x14ac:dyDescent="0.25">
      <c r="A72" t="s">
        <v>121</v>
      </c>
      <c r="B72" s="26" t="e">
        <f>+'Data Sheet'!B22/'Data Sheet'!B17</f>
        <v>#DIV/0!</v>
      </c>
      <c r="C72" s="26" t="e">
        <f>+'Data Sheet'!C22/'Data Sheet'!C17</f>
        <v>#DIV/0!</v>
      </c>
      <c r="D72" s="26" t="e">
        <f>+'Data Sheet'!D22/'Data Sheet'!D17</f>
        <v>#DIV/0!</v>
      </c>
      <c r="E72" s="26" t="e">
        <f>+'Data Sheet'!E22/'Data Sheet'!E17</f>
        <v>#DIV/0!</v>
      </c>
      <c r="F72" s="26" t="e">
        <f>+'Data Sheet'!F22/'Data Sheet'!F17</f>
        <v>#DIV/0!</v>
      </c>
      <c r="G72" s="26" t="e">
        <f>+'Data Sheet'!G22/'Data Sheet'!G17</f>
        <v>#DIV/0!</v>
      </c>
      <c r="H72" s="26" t="e">
        <f>+'Data Sheet'!H22/'Data Sheet'!H17</f>
        <v>#DIV/0!</v>
      </c>
      <c r="I72" s="26" t="e">
        <f>+'Data Sheet'!I22/'Data Sheet'!I17</f>
        <v>#DIV/0!</v>
      </c>
      <c r="J72" s="26" t="e">
        <f>+'Data Sheet'!J22/'Data Sheet'!J17</f>
        <v>#DIV/0!</v>
      </c>
      <c r="K72" s="26" t="e">
        <f>+'Data Sheet'!K22/'Data Sheet'!K17</f>
        <v>#DIV/0!</v>
      </c>
    </row>
    <row r="73" spans="1:14" x14ac:dyDescent="0.25">
      <c r="A73" t="s">
        <v>122</v>
      </c>
      <c r="B73" s="26" t="e">
        <f>+'Data Sheet'!B23/'Data Sheet'!B17</f>
        <v>#DIV/0!</v>
      </c>
      <c r="C73" s="26" t="e">
        <f>+'Data Sheet'!C23/'Data Sheet'!C17</f>
        <v>#DIV/0!</v>
      </c>
      <c r="D73" s="26" t="e">
        <f>+'Data Sheet'!D23/'Data Sheet'!D17</f>
        <v>#DIV/0!</v>
      </c>
      <c r="E73" s="26" t="e">
        <f>+'Data Sheet'!E23/'Data Sheet'!E17</f>
        <v>#DIV/0!</v>
      </c>
      <c r="F73" s="26" t="e">
        <f>+'Data Sheet'!F23/'Data Sheet'!F17</f>
        <v>#DIV/0!</v>
      </c>
      <c r="G73" s="26" t="e">
        <f>+'Data Sheet'!G23/'Data Sheet'!G17</f>
        <v>#DIV/0!</v>
      </c>
      <c r="H73" s="26" t="e">
        <f>+'Data Sheet'!H23/'Data Sheet'!H17</f>
        <v>#DIV/0!</v>
      </c>
      <c r="I73" s="26" t="e">
        <f>+'Data Sheet'!I23/'Data Sheet'!I17</f>
        <v>#DIV/0!</v>
      </c>
      <c r="J73" s="26" t="e">
        <f>+'Data Sheet'!J23/'Data Sheet'!J17</f>
        <v>#DIV/0!</v>
      </c>
      <c r="K73" s="26" t="e">
        <f>+'Data Sheet'!K23/'Data Sheet'!K17</f>
        <v>#DIV/0!</v>
      </c>
    </row>
    <row r="74" spans="1:14" x14ac:dyDescent="0.25">
      <c r="A74" t="s">
        <v>123</v>
      </c>
      <c r="B74" s="26" t="e">
        <f>+'Data Sheet'!B21/'Data Sheet'!B17</f>
        <v>#DIV/0!</v>
      </c>
      <c r="C74" s="26" t="e">
        <f>+'Data Sheet'!C21/'Data Sheet'!C17</f>
        <v>#DIV/0!</v>
      </c>
      <c r="D74" s="26" t="e">
        <f>+'Data Sheet'!D21/'Data Sheet'!D17</f>
        <v>#DIV/0!</v>
      </c>
      <c r="E74" s="26" t="e">
        <f>+'Data Sheet'!E21/'Data Sheet'!E17</f>
        <v>#DIV/0!</v>
      </c>
      <c r="F74" s="26" t="e">
        <f>+'Data Sheet'!F21/'Data Sheet'!F17</f>
        <v>#DIV/0!</v>
      </c>
      <c r="G74" s="26" t="e">
        <f>+'Data Sheet'!G21/'Data Sheet'!G17</f>
        <v>#DIV/0!</v>
      </c>
      <c r="H74" s="26" t="e">
        <f>+'Data Sheet'!H21/'Data Sheet'!H17</f>
        <v>#DIV/0!</v>
      </c>
      <c r="I74" s="26" t="e">
        <f>+'Data Sheet'!I21/'Data Sheet'!I17</f>
        <v>#DIV/0!</v>
      </c>
      <c r="J74" s="26" t="e">
        <f>+'Data Sheet'!J21/'Data Sheet'!J17</f>
        <v>#DIV/0!</v>
      </c>
      <c r="K74" s="26" t="e">
        <f>+'Data Sheet'!K21/'Data Sheet'!K17</f>
        <v>#DIV/0!</v>
      </c>
    </row>
    <row r="75" spans="1:14" x14ac:dyDescent="0.25">
      <c r="A75" t="s">
        <v>54</v>
      </c>
      <c r="B75" s="26" t="e">
        <f>+'Data Sheet'!B24/'Data Sheet'!B17</f>
        <v>#DIV/0!</v>
      </c>
      <c r="C75" s="26" t="e">
        <f>+'Data Sheet'!C24/'Data Sheet'!C17</f>
        <v>#DIV/0!</v>
      </c>
      <c r="D75" s="26" t="e">
        <f>+'Data Sheet'!D24/'Data Sheet'!D17</f>
        <v>#DIV/0!</v>
      </c>
      <c r="E75" s="26" t="e">
        <f>+'Data Sheet'!E24/'Data Sheet'!E17</f>
        <v>#DIV/0!</v>
      </c>
      <c r="F75" s="26" t="e">
        <f>+'Data Sheet'!F24/'Data Sheet'!F17</f>
        <v>#DIV/0!</v>
      </c>
      <c r="G75" s="26" t="e">
        <f>+'Data Sheet'!G24/'Data Sheet'!G17</f>
        <v>#DIV/0!</v>
      </c>
      <c r="H75" s="26" t="e">
        <f>+'Data Sheet'!H24/'Data Sheet'!H17</f>
        <v>#DIV/0!</v>
      </c>
      <c r="I75" s="26" t="e">
        <f>+'Data Sheet'!I24/'Data Sheet'!I17</f>
        <v>#DIV/0!</v>
      </c>
      <c r="J75" s="26" t="e">
        <f>+'Data Sheet'!J24/'Data Sheet'!J17</f>
        <v>#DIV/0!</v>
      </c>
      <c r="K75" s="26" t="e">
        <f>+'Data Sheet'!K24/'Data Sheet'!K17</f>
        <v>#DIV/0!</v>
      </c>
    </row>
    <row r="76" spans="1:14" x14ac:dyDescent="0.25">
      <c r="L76" s="2" t="s">
        <v>149</v>
      </c>
    </row>
  </sheetData>
  <conditionalFormatting sqref="B58:K58">
    <cfRule type="cellIs" dxfId="94" priority="94" operator="lessThan">
      <formula>B13</formula>
    </cfRule>
    <cfRule type="cellIs" dxfId="93" priority="95" operator="greaterThan">
      <formula>B13</formula>
    </cfRule>
  </conditionalFormatting>
  <conditionalFormatting sqref="T18:XFD18">
    <cfRule type="cellIs" dxfId="92" priority="97" operator="lessThan">
      <formula>#REF!</formula>
    </cfRule>
    <cfRule type="cellIs" dxfId="91" priority="98" operator="greaterThan">
      <formula>#REF!</formula>
    </cfRule>
  </conditionalFormatting>
  <conditionalFormatting sqref="C50 E50:K50">
    <cfRule type="cellIs" dxfId="90" priority="92" operator="greaterThan">
      <formula>B50</formula>
    </cfRule>
    <cfRule type="cellIs" dxfId="89" priority="93" operator="lessThan">
      <formula>B50</formula>
    </cfRule>
  </conditionalFormatting>
  <conditionalFormatting sqref="C50:K50 C42:K42">
    <cfRule type="cellIs" dxfId="88" priority="90" operator="greaterThan">
      <formula>B42</formula>
    </cfRule>
    <cfRule type="cellIs" dxfId="87" priority="91" operator="lessThan">
      <formula>B42</formula>
    </cfRule>
  </conditionalFormatting>
  <conditionalFormatting sqref="N18">
    <cfRule type="cellIs" dxfId="86" priority="86" operator="greaterThan">
      <formula>$N$17</formula>
    </cfRule>
    <cfRule type="cellIs" dxfId="85" priority="87" operator="lessThan">
      <formula>$N$17</formula>
    </cfRule>
  </conditionalFormatting>
  <conditionalFormatting sqref="L3 D39:K39">
    <cfRule type="cellIs" dxfId="84" priority="84" operator="lessThan">
      <formula>C3</formula>
    </cfRule>
    <cfRule type="cellIs" dxfId="83" priority="85" operator="greaterThan">
      <formula>C3</formula>
    </cfRule>
  </conditionalFormatting>
  <conditionalFormatting sqref="L5">
    <cfRule type="cellIs" dxfId="82" priority="82" operator="lessThan">
      <formula>K5</formula>
    </cfRule>
    <cfRule type="cellIs" dxfId="81" priority="83" operator="greaterThan">
      <formula>K5</formula>
    </cfRule>
  </conditionalFormatting>
  <conditionalFormatting sqref="L14">
    <cfRule type="cellIs" dxfId="80" priority="80" operator="lessThan">
      <formula>K14</formula>
    </cfRule>
    <cfRule type="cellIs" dxfId="79" priority="81" operator="greaterThan">
      <formula>K14</formula>
    </cfRule>
  </conditionalFormatting>
  <conditionalFormatting sqref="D35:K35">
    <cfRule type="cellIs" dxfId="78" priority="78" operator="greaterThan">
      <formula>C35</formula>
    </cfRule>
    <cfRule type="cellIs" dxfId="77" priority="79" operator="lessThan">
      <formula>C35</formula>
    </cfRule>
  </conditionalFormatting>
  <conditionalFormatting sqref="D36:K36">
    <cfRule type="cellIs" dxfId="76" priority="76" operator="lessThan">
      <formula>C36</formula>
    </cfRule>
    <cfRule type="cellIs" dxfId="75" priority="77" operator="greaterThan">
      <formula>C36</formula>
    </cfRule>
  </conditionalFormatting>
  <conditionalFormatting sqref="C43:K43">
    <cfRule type="cellIs" dxfId="74" priority="74" operator="lessThan">
      <formula>B43</formula>
    </cfRule>
    <cfRule type="cellIs" dxfId="73" priority="75" operator="greaterThan">
      <formula>B43</formula>
    </cfRule>
  </conditionalFormatting>
  <conditionalFormatting sqref="P56 S16">
    <cfRule type="cellIs" dxfId="72" priority="88" operator="lessThan">
      <formula>#REF!</formula>
    </cfRule>
    <cfRule type="cellIs" dxfId="71" priority="89" operator="greaterThan">
      <formula>#REF!</formula>
    </cfRule>
  </conditionalFormatting>
  <conditionalFormatting sqref="D34:K34">
    <cfRule type="cellIs" dxfId="70" priority="72" operator="lessThan">
      <formula>C34</formula>
    </cfRule>
    <cfRule type="cellIs" dxfId="69" priority="73" operator="greaterThan">
      <formula>C34</formula>
    </cfRule>
  </conditionalFormatting>
  <conditionalFormatting sqref="D38:K38">
    <cfRule type="cellIs" dxfId="68" priority="70" operator="greaterThan">
      <formula>C38</formula>
    </cfRule>
    <cfRule type="cellIs" dxfId="67" priority="71" operator="lessThan">
      <formula>C38</formula>
    </cfRule>
  </conditionalFormatting>
  <conditionalFormatting sqref="C71:K73 B70:K70">
    <cfRule type="cellIs" dxfId="66" priority="68" operator="greaterThan">
      <formula>A70</formula>
    </cfRule>
    <cfRule type="cellIs" dxfId="65" priority="69" operator="lessThan">
      <formula>A70</formula>
    </cfRule>
  </conditionalFormatting>
  <conditionalFormatting sqref="C71:K73 B70:K70">
    <cfRule type="cellIs" dxfId="64" priority="66" operator="greaterThan">
      <formula>A70</formula>
    </cfRule>
    <cfRule type="cellIs" dxfId="63" priority="67" operator="lessThan">
      <formula>A70</formula>
    </cfRule>
  </conditionalFormatting>
  <conditionalFormatting sqref="Q17">
    <cfRule type="cellIs" dxfId="62" priority="65" operator="greaterThan">
      <formula>15</formula>
    </cfRule>
  </conditionalFormatting>
  <conditionalFormatting sqref="C74:K75">
    <cfRule type="cellIs" dxfId="61" priority="63" operator="greaterThan">
      <formula>B74</formula>
    </cfRule>
    <cfRule type="cellIs" dxfId="60" priority="64" operator="lessThan">
      <formula>B74</formula>
    </cfRule>
  </conditionalFormatting>
  <conditionalFormatting sqref="C74:K75">
    <cfRule type="cellIs" dxfId="59" priority="61" operator="greaterThan">
      <formula>B74</formula>
    </cfRule>
    <cfRule type="cellIs" dxfId="58" priority="62" operator="lessThan">
      <formula>B74</formula>
    </cfRule>
  </conditionalFormatting>
  <conditionalFormatting sqref="O15">
    <cfRule type="cellIs" dxfId="57" priority="60" operator="greaterThanOrEqual">
      <formula>0.04</formula>
    </cfRule>
  </conditionalFormatting>
  <conditionalFormatting sqref="M20">
    <cfRule type="cellIs" dxfId="56" priority="59" operator="greaterThan">
      <formula>$M$19</formula>
    </cfRule>
  </conditionalFormatting>
  <conditionalFormatting sqref="C5:K5">
    <cfRule type="cellIs" dxfId="55" priority="56" operator="lessThan">
      <formula>B5</formula>
    </cfRule>
    <cfRule type="cellIs" dxfId="54" priority="57" operator="greaterThan">
      <formula>B5</formula>
    </cfRule>
  </conditionalFormatting>
  <conditionalFormatting sqref="C14:K14">
    <cfRule type="cellIs" dxfId="53" priority="54" operator="lessThan">
      <formula>B14</formula>
    </cfRule>
    <cfRule type="cellIs" dxfId="52" priority="55" operator="greaterThan">
      <formula>B14</formula>
    </cfRule>
  </conditionalFormatting>
  <conditionalFormatting sqref="C18:K18">
    <cfRule type="cellIs" dxfId="51" priority="52" operator="greaterThan">
      <formula>B18</formula>
    </cfRule>
    <cfRule type="cellIs" dxfId="50" priority="53" operator="lessThan">
      <formula>B18</formula>
    </cfRule>
  </conditionalFormatting>
  <conditionalFormatting sqref="C3:K3">
    <cfRule type="cellIs" dxfId="49" priority="50" operator="lessThan">
      <formula>B3</formula>
    </cfRule>
    <cfRule type="cellIs" dxfId="48" priority="51" operator="greaterThan">
      <formula>B3</formula>
    </cfRule>
  </conditionalFormatting>
  <conditionalFormatting sqref="O14">
    <cfRule type="cellIs" dxfId="47" priority="49" operator="greaterThan">
      <formula>22.5</formula>
    </cfRule>
  </conditionalFormatting>
  <conditionalFormatting sqref="B65">
    <cfRule type="cellIs" dxfId="46" priority="47" operator="greaterThan">
      <formula>$B$64</formula>
    </cfRule>
    <cfRule type="cellIs" dxfId="45" priority="48" operator="lessThan">
      <formula>$B$64</formula>
    </cfRule>
  </conditionalFormatting>
  <conditionalFormatting sqref="B12:L12">
    <cfRule type="cellIs" dxfId="44" priority="46" operator="lessThan">
      <formula>0.295</formula>
    </cfRule>
  </conditionalFormatting>
  <conditionalFormatting sqref="B12:L12">
    <cfRule type="cellIs" dxfId="43" priority="45" operator="greaterThanOrEqual">
      <formula>0.295</formula>
    </cfRule>
  </conditionalFormatting>
  <conditionalFormatting sqref="C13:L13">
    <cfRule type="cellIs" dxfId="42" priority="43" operator="lessThan">
      <formula>B$13</formula>
    </cfRule>
    <cfRule type="cellIs" dxfId="41" priority="44" operator="greaterThan">
      <formula>B$13</formula>
    </cfRule>
  </conditionalFormatting>
  <conditionalFormatting sqref="C15">
    <cfRule type="cellIs" dxfId="40" priority="41" operator="lessThan">
      <formula>C13</formula>
    </cfRule>
    <cfRule type="cellIs" dxfId="39" priority="42" operator="greaterThanOrEqual">
      <formula>C13</formula>
    </cfRule>
  </conditionalFormatting>
  <conditionalFormatting sqref="B15">
    <cfRule type="cellIs" dxfId="38" priority="39" operator="lessThan">
      <formula>B13</formula>
    </cfRule>
    <cfRule type="cellIs" dxfId="37" priority="40" operator="greaterThanOrEqual">
      <formula>B13</formula>
    </cfRule>
  </conditionalFormatting>
  <conditionalFormatting sqref="D15:K15">
    <cfRule type="cellIs" dxfId="36" priority="37" operator="lessThan">
      <formula>D13</formula>
    </cfRule>
    <cfRule type="cellIs" dxfId="35" priority="38" operator="greaterThanOrEqual">
      <formula>D13</formula>
    </cfRule>
  </conditionalFormatting>
  <conditionalFormatting sqref="M15">
    <cfRule type="cellIs" dxfId="34" priority="35" operator="lessThan">
      <formula>M13</formula>
    </cfRule>
    <cfRule type="cellIs" dxfId="33" priority="36" operator="greaterThanOrEqual">
      <formula>M13</formula>
    </cfRule>
  </conditionalFormatting>
  <conditionalFormatting sqref="C16:K16">
    <cfRule type="cellIs" dxfId="32" priority="33" operator="greaterThan">
      <formula>C15</formula>
    </cfRule>
    <cfRule type="cellIs" dxfId="31" priority="34" operator="lessThanOrEqual">
      <formula>C15</formula>
    </cfRule>
  </conditionalFormatting>
  <conditionalFormatting sqref="M16">
    <cfRule type="cellIs" dxfId="30" priority="31" operator="greaterThan">
      <formula>M15</formula>
    </cfRule>
    <cfRule type="cellIs" dxfId="29" priority="32" operator="lessThanOrEqual">
      <formula>M15</formula>
    </cfRule>
  </conditionalFormatting>
  <conditionalFormatting sqref="C19">
    <cfRule type="cellIs" dxfId="28" priority="29" operator="greaterThan">
      <formula>B19</formula>
    </cfRule>
    <cfRule type="cellIs" dxfId="27" priority="30" operator="lessThan">
      <formula>B19</formula>
    </cfRule>
  </conditionalFormatting>
  <conditionalFormatting sqref="D19:K19">
    <cfRule type="cellIs" dxfId="26" priority="27" operator="greaterThan">
      <formula>C19</formula>
    </cfRule>
    <cfRule type="cellIs" dxfId="25" priority="28" operator="lessThan">
      <formula>C19</formula>
    </cfRule>
  </conditionalFormatting>
  <conditionalFormatting sqref="M21">
    <cfRule type="cellIs" dxfId="24" priority="25" operator="greaterThan">
      <formula>0</formula>
    </cfRule>
    <cfRule type="cellIs" dxfId="23" priority="26" operator="lessThan">
      <formula>0</formula>
    </cfRule>
  </conditionalFormatting>
  <conditionalFormatting sqref="M24">
    <cfRule type="cellIs" dxfId="22" priority="23" operator="greaterThan">
      <formula>0.25</formula>
    </cfRule>
    <cfRule type="cellIs" dxfId="21" priority="24" operator="lessThanOrEqual">
      <formula>0.25</formula>
    </cfRule>
  </conditionalFormatting>
  <conditionalFormatting sqref="C29:K29">
    <cfRule type="cellIs" dxfId="20" priority="22" operator="lessThan">
      <formula>0.1</formula>
    </cfRule>
  </conditionalFormatting>
  <conditionalFormatting sqref="C30:K30">
    <cfRule type="cellIs" dxfId="19" priority="19" operator="greaterThan">
      <formula>0.25</formula>
    </cfRule>
    <cfRule type="cellIs" dxfId="18" priority="21" operator="lessThan">
      <formula>0.07</formula>
    </cfRule>
  </conditionalFormatting>
  <conditionalFormatting sqref="C29:K29">
    <cfRule type="cellIs" dxfId="17" priority="20" operator="greaterThan">
      <formula>0.25</formula>
    </cfRule>
  </conditionalFormatting>
  <conditionalFormatting sqref="C31:K31">
    <cfRule type="cellIs" dxfId="16" priority="17" operator="greaterThan">
      <formula>0.35</formula>
    </cfRule>
    <cfRule type="cellIs" dxfId="15" priority="18" operator="lessThan">
      <formula>0.1</formula>
    </cfRule>
  </conditionalFormatting>
  <conditionalFormatting sqref="F32:K32">
    <cfRule type="cellIs" dxfId="14" priority="15" operator="lessThan">
      <formula>E32</formula>
    </cfRule>
    <cfRule type="cellIs" dxfId="13" priority="16" operator="greaterThan">
      <formula>E32</formula>
    </cfRule>
  </conditionalFormatting>
  <conditionalFormatting sqref="L48">
    <cfRule type="cellIs" dxfId="12" priority="14" operator="greaterThan">
      <formula>$L$48</formula>
    </cfRule>
  </conditionalFormatting>
  <conditionalFormatting sqref="C46:K46">
    <cfRule type="cellIs" dxfId="11" priority="12" operator="lessThan">
      <formula>B46</formula>
    </cfRule>
    <cfRule type="cellIs" dxfId="10" priority="13" operator="greaterThan">
      <formula>B46</formula>
    </cfRule>
  </conditionalFormatting>
  <conditionalFormatting sqref="C47:L47">
    <cfRule type="cellIs" dxfId="9" priority="10" operator="lessThan">
      <formula>B47</formula>
    </cfRule>
    <cfRule type="cellIs" dxfId="8" priority="11" operator="greaterThan">
      <formula>B47</formula>
    </cfRule>
  </conditionalFormatting>
  <conditionalFormatting sqref="C55:K55">
    <cfRule type="cellIs" dxfId="7" priority="9" operator="lessThan">
      <formula>1</formula>
    </cfRule>
  </conditionalFormatting>
  <conditionalFormatting sqref="N20">
    <cfRule type="cellIs" dxfId="6" priority="7" operator="greaterThan">
      <formula>0</formula>
    </cfRule>
    <cfRule type="cellIs" dxfId="5" priority="8" operator="lessThanOrEqual">
      <formula>0</formula>
    </cfRule>
  </conditionalFormatting>
  <conditionalFormatting sqref="O3:S6">
    <cfRule type="cellIs" dxfId="4" priority="6" operator="lessThan">
      <formula>0</formula>
    </cfRule>
  </conditionalFormatting>
  <conditionalFormatting sqref="K22">
    <cfRule type="cellIs" dxfId="3" priority="5" operator="greaterThan">
      <formula>$O$16</formula>
    </cfRule>
  </conditionalFormatting>
  <conditionalFormatting sqref="D37:K37">
    <cfRule type="cellIs" dxfId="2" priority="3" operator="greaterThan">
      <formula>C37</formula>
    </cfRule>
    <cfRule type="cellIs" dxfId="1" priority="4" operator="lessThan">
      <formula>C37</formula>
    </cfRule>
  </conditionalFormatting>
  <pageMargins left="0.7" right="0.7" top="0.75" bottom="0.75" header="0.3" footer="0.3"/>
  <pageSetup paperSize="9" orientation="portrait" r:id="rId1"/>
  <ignoredErrors>
    <ignoredError sqref="B12:K14 E24:K24 N19 C29:K30 C38:K38 B44:K44 B46:K46 B52:K52 C55:K55 B66 B68:K68 B70:K75" evalError="1"/>
    <ignoredError sqref="L3:L14 C33:K33 C32:D32" formulaRange="1"/>
    <ignoredError sqref="C34:K36 E32:K32 C31:K31" evalError="1" formulaRange="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pane ySplit="1" topLeftCell="A2" activePane="bottomLeft" state="frozen"/>
      <selection pane="bottomLeft" activeCell="B3" sqref="B3"/>
    </sheetView>
  </sheetViews>
  <sheetFormatPr defaultRowHeight="15" x14ac:dyDescent="0.25"/>
  <cols>
    <col min="1" max="1" width="10.85546875" style="58" bestFit="1" customWidth="1"/>
    <col min="2" max="2" width="162.28515625" style="49" customWidth="1"/>
  </cols>
  <sheetData>
    <row r="1" spans="1:2" s="56" customFormat="1" x14ac:dyDescent="0.25">
      <c r="A1" s="54" t="s">
        <v>139</v>
      </c>
      <c r="B1" s="55" t="s">
        <v>140</v>
      </c>
    </row>
    <row r="2" spans="1:2" ht="30" x14ac:dyDescent="0.25">
      <c r="A2" s="57">
        <v>3.2</v>
      </c>
      <c r="B2" s="49" t="s">
        <v>179</v>
      </c>
    </row>
    <row r="3" spans="1:2" x14ac:dyDescent="0.25">
      <c r="A3" s="57">
        <v>3.1</v>
      </c>
      <c r="B3" s="49" t="s">
        <v>170</v>
      </c>
    </row>
    <row r="4" spans="1:2" ht="135" x14ac:dyDescent="0.25">
      <c r="A4" s="57">
        <v>3</v>
      </c>
      <c r="B4" s="49" t="s">
        <v>168</v>
      </c>
    </row>
    <row r="5" spans="1:2" ht="240" x14ac:dyDescent="0.25">
      <c r="A5" s="57">
        <v>2</v>
      </c>
      <c r="B5" s="49" t="s">
        <v>141</v>
      </c>
    </row>
    <row r="6" spans="1:2" ht="30" x14ac:dyDescent="0.25">
      <c r="A6" s="57">
        <v>1.6</v>
      </c>
      <c r="B6" s="49" t="s">
        <v>142</v>
      </c>
    </row>
    <row r="7" spans="1:2" ht="105" x14ac:dyDescent="0.25">
      <c r="A7" s="57">
        <v>1.5</v>
      </c>
      <c r="B7" s="49" t="s">
        <v>143</v>
      </c>
    </row>
    <row r="8" spans="1:2" x14ac:dyDescent="0.25">
      <c r="A8" s="57">
        <v>1.4</v>
      </c>
      <c r="B8" s="49" t="s">
        <v>144</v>
      </c>
    </row>
    <row r="9" spans="1:2" ht="75" x14ac:dyDescent="0.25">
      <c r="A9" s="57">
        <v>1.3</v>
      </c>
      <c r="B9" s="49" t="s">
        <v>145</v>
      </c>
    </row>
    <row r="10" spans="1:2" ht="45" x14ac:dyDescent="0.25">
      <c r="A10" s="57">
        <v>1.2</v>
      </c>
      <c r="B10" s="49" t="s">
        <v>146</v>
      </c>
    </row>
    <row r="11" spans="1:2" ht="120" x14ac:dyDescent="0.25">
      <c r="A11" s="57" t="s">
        <v>147</v>
      </c>
      <c r="B11" s="49" t="s">
        <v>148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3"/>
  <sheetViews>
    <sheetView zoomScaleNormal="100" zoomScalePageLayoutView="120" workbookViewId="0">
      <pane xSplit="1" ySplit="1" topLeftCell="B2" activePane="bottomRight" state="frozen"/>
      <selection activeCell="C4" sqref="C4"/>
      <selection pane="topRight" activeCell="C4" sqref="C4"/>
      <selection pane="bottomLeft" activeCell="C4" sqref="C4"/>
      <selection pane="bottomRight" activeCell="B18" sqref="B18"/>
    </sheetView>
  </sheetViews>
  <sheetFormatPr defaultColWidth="8.85546875" defaultRowHeight="15" x14ac:dyDescent="0.25"/>
  <cols>
    <col min="1" max="1" width="27.7109375" style="3" bestFit="1" customWidth="1"/>
    <col min="2" max="11" width="13.42578125" style="3" bestFit="1" customWidth="1"/>
    <col min="12" max="16384" width="8.85546875" style="3"/>
  </cols>
  <sheetData>
    <row r="1" spans="1:11" s="1" customFormat="1" x14ac:dyDescent="0.25">
      <c r="A1" s="1" t="s">
        <v>0</v>
      </c>
      <c r="B1" s="1" t="s">
        <v>36</v>
      </c>
      <c r="E1" s="68" t="str">
        <f>IF(B2&lt;&gt;B3, "A NEW VERSION OF THE WORKSHEET IS AVAILABLE", "")</f>
        <v/>
      </c>
      <c r="F1" s="68"/>
      <c r="G1" s="68"/>
      <c r="H1" s="68"/>
      <c r="I1" s="68"/>
      <c r="J1" s="68"/>
      <c r="K1" s="68"/>
    </row>
    <row r="2" spans="1:11" x14ac:dyDescent="0.25">
      <c r="A2" s="1" t="s">
        <v>34</v>
      </c>
      <c r="B2" s="3">
        <v>2.1</v>
      </c>
      <c r="E2" s="69" t="s">
        <v>25</v>
      </c>
      <c r="F2" s="69"/>
      <c r="G2" s="69"/>
      <c r="H2" s="69"/>
      <c r="I2" s="69"/>
      <c r="J2" s="69"/>
      <c r="K2" s="69"/>
    </row>
    <row r="3" spans="1:11" x14ac:dyDescent="0.25">
      <c r="A3" s="1" t="s">
        <v>35</v>
      </c>
      <c r="B3" s="3">
        <v>2.1</v>
      </c>
    </row>
    <row r="4" spans="1:11" x14ac:dyDescent="0.25">
      <c r="A4" s="1"/>
    </row>
    <row r="5" spans="1:11" x14ac:dyDescent="0.25">
      <c r="A5" s="1" t="s">
        <v>37</v>
      </c>
    </row>
    <row r="6" spans="1:11" x14ac:dyDescent="0.25">
      <c r="A6" s="3" t="s">
        <v>31</v>
      </c>
      <c r="B6" s="3">
        <f>IF(B9&gt;0, B9/B8, 0)</f>
        <v>0</v>
      </c>
    </row>
    <row r="7" spans="1:11" x14ac:dyDescent="0.25">
      <c r="A7" s="3" t="s">
        <v>20</v>
      </c>
      <c r="B7"/>
    </row>
    <row r="8" spans="1:11" x14ac:dyDescent="0.25">
      <c r="A8" s="3" t="s">
        <v>32</v>
      </c>
      <c r="B8"/>
    </row>
    <row r="9" spans="1:11" x14ac:dyDescent="0.25">
      <c r="A9" s="3" t="s">
        <v>47</v>
      </c>
      <c r="B9"/>
    </row>
    <row r="15" spans="1:11" x14ac:dyDescent="0.25">
      <c r="A15" s="1" t="s">
        <v>26</v>
      </c>
    </row>
    <row r="16" spans="1:11" s="8" customFormat="1" x14ac:dyDescent="0.25">
      <c r="A16" s="7" t="s">
        <v>27</v>
      </c>
      <c r="B16" s="6"/>
      <c r="C16" s="6"/>
      <c r="D16" s="6"/>
      <c r="E16" s="6"/>
      <c r="F16" s="6"/>
      <c r="G16" s="6"/>
      <c r="H16" s="6"/>
      <c r="I16" s="6"/>
      <c r="J16" s="6"/>
      <c r="K16" s="6"/>
    </row>
    <row r="17" spans="1:11" s="4" customFormat="1" x14ac:dyDescent="0.25">
      <c r="A17" s="4" t="s">
        <v>2</v>
      </c>
      <c r="B17"/>
      <c r="C17"/>
      <c r="D17"/>
      <c r="E17"/>
      <c r="F17"/>
      <c r="G17"/>
      <c r="H17"/>
      <c r="I17"/>
      <c r="J17"/>
      <c r="K17"/>
    </row>
    <row r="18" spans="1:11" s="4" customFormat="1" x14ac:dyDescent="0.25">
      <c r="A18" s="3" t="s">
        <v>48</v>
      </c>
      <c r="B18"/>
      <c r="C18"/>
      <c r="D18"/>
      <c r="E18"/>
      <c r="F18"/>
      <c r="G18"/>
      <c r="H18"/>
      <c r="I18"/>
      <c r="J18"/>
      <c r="K18"/>
    </row>
    <row r="19" spans="1:11" s="4" customFormat="1" x14ac:dyDescent="0.25">
      <c r="A19" s="3" t="s">
        <v>49</v>
      </c>
      <c r="B19"/>
      <c r="C19"/>
      <c r="D19"/>
      <c r="E19"/>
      <c r="F19"/>
      <c r="G19"/>
      <c r="H19"/>
      <c r="I19"/>
      <c r="J19"/>
      <c r="K19"/>
    </row>
    <row r="20" spans="1:11" s="4" customFormat="1" x14ac:dyDescent="0.25">
      <c r="A20" s="3" t="s">
        <v>50</v>
      </c>
      <c r="B20"/>
      <c r="C20"/>
      <c r="D20"/>
      <c r="E20"/>
      <c r="F20"/>
      <c r="G20"/>
      <c r="H20"/>
      <c r="I20"/>
      <c r="J20"/>
      <c r="K20"/>
    </row>
    <row r="21" spans="1:11" s="4" customFormat="1" x14ac:dyDescent="0.25">
      <c r="A21" s="3" t="s">
        <v>51</v>
      </c>
      <c r="B21"/>
      <c r="C21"/>
      <c r="D21"/>
      <c r="E21"/>
      <c r="F21"/>
      <c r="G21"/>
      <c r="H21"/>
      <c r="I21"/>
      <c r="J21"/>
      <c r="K21"/>
    </row>
    <row r="22" spans="1:11" s="4" customFormat="1" x14ac:dyDescent="0.25">
      <c r="A22" s="3" t="s">
        <v>52</v>
      </c>
      <c r="B22"/>
      <c r="C22"/>
      <c r="D22"/>
      <c r="E22"/>
      <c r="F22"/>
      <c r="G22"/>
      <c r="H22"/>
      <c r="I22"/>
      <c r="J22"/>
      <c r="K22"/>
    </row>
    <row r="23" spans="1:11" s="4" customFormat="1" x14ac:dyDescent="0.25">
      <c r="A23" s="3" t="s">
        <v>53</v>
      </c>
      <c r="B23"/>
      <c r="C23"/>
      <c r="D23"/>
      <c r="E23"/>
      <c r="F23"/>
      <c r="G23"/>
      <c r="H23"/>
      <c r="I23"/>
      <c r="J23"/>
      <c r="K23"/>
    </row>
    <row r="24" spans="1:11" s="4" customFormat="1" x14ac:dyDescent="0.25">
      <c r="A24" s="3" t="s">
        <v>54</v>
      </c>
      <c r="B24"/>
      <c r="C24"/>
      <c r="D24"/>
      <c r="E24"/>
      <c r="F24"/>
      <c r="G24"/>
      <c r="H24"/>
      <c r="I24"/>
      <c r="J24"/>
      <c r="K24"/>
    </row>
    <row r="25" spans="1:11" s="4" customFormat="1" x14ac:dyDescent="0.25">
      <c r="A25" s="4" t="s">
        <v>5</v>
      </c>
      <c r="B25"/>
      <c r="C25"/>
      <c r="D25"/>
      <c r="E25"/>
      <c r="F25"/>
      <c r="G25"/>
      <c r="H25"/>
      <c r="I25"/>
      <c r="J25"/>
      <c r="K25"/>
    </row>
    <row r="26" spans="1:11" s="4" customFormat="1" x14ac:dyDescent="0.25">
      <c r="A26" s="4" t="s">
        <v>6</v>
      </c>
      <c r="B26"/>
      <c r="C26"/>
      <c r="D26"/>
      <c r="E26"/>
      <c r="F26"/>
      <c r="G26"/>
      <c r="H26"/>
      <c r="I26"/>
      <c r="J26"/>
      <c r="K26"/>
    </row>
    <row r="27" spans="1:11" s="4" customFormat="1" x14ac:dyDescent="0.25">
      <c r="A27" s="4" t="s">
        <v>7</v>
      </c>
      <c r="B27"/>
      <c r="C27"/>
      <c r="D27"/>
      <c r="E27"/>
      <c r="F27"/>
      <c r="G27"/>
      <c r="H27"/>
      <c r="I27"/>
      <c r="J27"/>
      <c r="K27"/>
    </row>
    <row r="28" spans="1:11" s="4" customFormat="1" x14ac:dyDescent="0.25">
      <c r="A28" s="4" t="s">
        <v>8</v>
      </c>
      <c r="B28"/>
      <c r="C28"/>
      <c r="D28"/>
      <c r="E28"/>
      <c r="F28"/>
      <c r="G28"/>
      <c r="H28"/>
      <c r="I28"/>
      <c r="J28"/>
      <c r="K28"/>
    </row>
    <row r="29" spans="1:11" s="4" customFormat="1" x14ac:dyDescent="0.25">
      <c r="A29" s="4" t="s">
        <v>9</v>
      </c>
      <c r="B29"/>
      <c r="C29"/>
      <c r="D29"/>
      <c r="E29"/>
      <c r="F29"/>
      <c r="G29"/>
      <c r="H29"/>
      <c r="I29"/>
      <c r="J29"/>
      <c r="K29"/>
    </row>
    <row r="30" spans="1:11" s="4" customFormat="1" x14ac:dyDescent="0.25">
      <c r="A30" s="4" t="s">
        <v>10</v>
      </c>
      <c r="B30"/>
      <c r="C30"/>
      <c r="D30"/>
      <c r="E30"/>
      <c r="F30"/>
      <c r="G30"/>
      <c r="H30"/>
      <c r="I30"/>
      <c r="J30"/>
      <c r="K30"/>
    </row>
    <row r="31" spans="1:11" s="4" customFormat="1" x14ac:dyDescent="0.25">
      <c r="A31" s="4" t="s">
        <v>38</v>
      </c>
      <c r="B31"/>
      <c r="C31"/>
      <c r="D31"/>
      <c r="E31"/>
      <c r="F31"/>
      <c r="G31"/>
      <c r="H31"/>
      <c r="I31"/>
      <c r="J31"/>
      <c r="K31"/>
    </row>
    <row r="32" spans="1:11" s="4" customFormat="1" x14ac:dyDescent="0.25"/>
    <row r="33" spans="1:11" x14ac:dyDescent="0.25">
      <c r="A33" s="4"/>
    </row>
    <row r="34" spans="1:11" x14ac:dyDescent="0.25">
      <c r="A34" s="4"/>
    </row>
    <row r="35" spans="1:11" x14ac:dyDescent="0.25">
      <c r="A35" s="4"/>
    </row>
    <row r="36" spans="1:11" x14ac:dyDescent="0.25">
      <c r="A36" s="4"/>
    </row>
    <row r="37" spans="1:11" x14ac:dyDescent="0.25">
      <c r="A37" s="4"/>
    </row>
    <row r="38" spans="1:11" x14ac:dyDescent="0.25">
      <c r="A38" s="4"/>
    </row>
    <row r="39" spans="1:11" x14ac:dyDescent="0.25">
      <c r="A39" s="4"/>
    </row>
    <row r="40" spans="1:11" x14ac:dyDescent="0.25">
      <c r="A40" s="1" t="s">
        <v>28</v>
      </c>
    </row>
    <row r="41" spans="1:11" s="8" customFormat="1" x14ac:dyDescent="0.25">
      <c r="A41" s="7" t="s">
        <v>27</v>
      </c>
      <c r="B41" s="6"/>
      <c r="C41" s="6"/>
      <c r="D41" s="6"/>
      <c r="E41" s="6"/>
      <c r="F41" s="6"/>
      <c r="G41" s="6"/>
      <c r="H41" s="6"/>
      <c r="I41" s="6"/>
      <c r="J41" s="6"/>
      <c r="K41" s="6"/>
    </row>
    <row r="42" spans="1:11" s="4" customFormat="1" x14ac:dyDescent="0.25">
      <c r="A42" s="4" t="s">
        <v>2</v>
      </c>
      <c r="B42"/>
      <c r="C42"/>
      <c r="D42"/>
      <c r="E42"/>
      <c r="F42"/>
      <c r="G42"/>
      <c r="H42"/>
      <c r="I42"/>
      <c r="J42"/>
      <c r="K42"/>
    </row>
    <row r="43" spans="1:11" s="4" customFormat="1" x14ac:dyDescent="0.25">
      <c r="A43" s="4" t="s">
        <v>3</v>
      </c>
      <c r="B43"/>
      <c r="C43"/>
      <c r="D43"/>
      <c r="E43"/>
      <c r="F43"/>
      <c r="G43"/>
      <c r="H43"/>
      <c r="I43"/>
      <c r="J43"/>
      <c r="K43"/>
    </row>
    <row r="44" spans="1:11" s="4" customFormat="1" x14ac:dyDescent="0.25">
      <c r="A44" s="4" t="s">
        <v>5</v>
      </c>
      <c r="B44"/>
      <c r="C44"/>
      <c r="D44"/>
      <c r="E44"/>
      <c r="F44"/>
      <c r="G44"/>
      <c r="H44"/>
      <c r="I44"/>
      <c r="J44"/>
      <c r="K44"/>
    </row>
    <row r="45" spans="1:11" s="4" customFormat="1" x14ac:dyDescent="0.25">
      <c r="A45" s="4" t="s">
        <v>6</v>
      </c>
      <c r="B45"/>
      <c r="C45"/>
      <c r="D45"/>
      <c r="E45"/>
      <c r="F45"/>
      <c r="G45"/>
      <c r="H45"/>
      <c r="I45"/>
      <c r="J45"/>
      <c r="K45"/>
    </row>
    <row r="46" spans="1:11" s="4" customFormat="1" x14ac:dyDescent="0.25">
      <c r="A46" s="4" t="s">
        <v>7</v>
      </c>
      <c r="B46"/>
      <c r="C46"/>
      <c r="D46"/>
      <c r="E46"/>
      <c r="F46"/>
      <c r="G46"/>
      <c r="H46"/>
      <c r="I46"/>
      <c r="J46"/>
      <c r="K46"/>
    </row>
    <row r="47" spans="1:11" s="4" customFormat="1" x14ac:dyDescent="0.25">
      <c r="A47" s="4" t="s">
        <v>8</v>
      </c>
      <c r="B47"/>
      <c r="C47"/>
      <c r="D47"/>
      <c r="E47"/>
      <c r="F47"/>
      <c r="G47"/>
      <c r="H47"/>
      <c r="I47"/>
      <c r="J47"/>
      <c r="K47"/>
    </row>
    <row r="48" spans="1:11" s="4" customFormat="1" x14ac:dyDescent="0.25">
      <c r="A48" s="4" t="s">
        <v>9</v>
      </c>
      <c r="B48"/>
      <c r="C48"/>
      <c r="D48"/>
      <c r="E48"/>
      <c r="F48"/>
      <c r="G48"/>
      <c r="H48"/>
      <c r="I48"/>
      <c r="J48"/>
      <c r="K48"/>
    </row>
    <row r="49" spans="1:11" s="4" customFormat="1" x14ac:dyDescent="0.25">
      <c r="A49" s="4" t="s">
        <v>10</v>
      </c>
      <c r="B49"/>
      <c r="C49"/>
      <c r="D49"/>
      <c r="E49"/>
      <c r="F49"/>
      <c r="G49"/>
      <c r="H49"/>
      <c r="I49"/>
      <c r="J49"/>
      <c r="K49"/>
    </row>
    <row r="50" spans="1:11" x14ac:dyDescent="0.25">
      <c r="A50" s="4" t="s">
        <v>4</v>
      </c>
      <c r="B50"/>
      <c r="C50"/>
      <c r="D50"/>
      <c r="E50"/>
      <c r="F50"/>
      <c r="G50"/>
      <c r="H50"/>
      <c r="I50"/>
      <c r="J50"/>
      <c r="K50"/>
    </row>
    <row r="51" spans="1:11" x14ac:dyDescent="0.25">
      <c r="A51" s="4"/>
    </row>
    <row r="52" spans="1:11" x14ac:dyDescent="0.25">
      <c r="A52" s="4"/>
    </row>
    <row r="53" spans="1:11" x14ac:dyDescent="0.25">
      <c r="A53" s="4"/>
    </row>
    <row r="54" spans="1:11" x14ac:dyDescent="0.25">
      <c r="A54" s="4"/>
    </row>
    <row r="55" spans="1:11" x14ac:dyDescent="0.25">
      <c r="A55" s="1" t="s">
        <v>29</v>
      </c>
    </row>
    <row r="56" spans="1:11" s="8" customFormat="1" x14ac:dyDescent="0.25">
      <c r="A56" s="7" t="s">
        <v>27</v>
      </c>
      <c r="B56" s="6"/>
      <c r="C56" s="6"/>
      <c r="D56" s="6"/>
      <c r="E56" s="6"/>
      <c r="F56" s="6"/>
      <c r="G56" s="6"/>
      <c r="H56" s="6"/>
      <c r="I56" s="6"/>
      <c r="J56" s="6"/>
      <c r="K56" s="6"/>
    </row>
    <row r="57" spans="1:11" x14ac:dyDescent="0.25">
      <c r="A57" s="4" t="s">
        <v>14</v>
      </c>
      <c r="B57"/>
      <c r="C57"/>
      <c r="D57"/>
      <c r="E57"/>
      <c r="F57"/>
      <c r="G57"/>
      <c r="H57"/>
      <c r="I57"/>
      <c r="J57"/>
      <c r="K57"/>
    </row>
    <row r="58" spans="1:11" x14ac:dyDescent="0.25">
      <c r="A58" s="4" t="s">
        <v>15</v>
      </c>
      <c r="B58"/>
      <c r="C58"/>
      <c r="D58"/>
      <c r="E58"/>
      <c r="F58"/>
      <c r="G58"/>
      <c r="H58"/>
      <c r="I58"/>
      <c r="J58"/>
      <c r="K58"/>
    </row>
    <row r="59" spans="1:11" x14ac:dyDescent="0.25">
      <c r="A59" s="4" t="s">
        <v>39</v>
      </c>
      <c r="B59"/>
      <c r="C59"/>
      <c r="D59"/>
      <c r="E59"/>
      <c r="F59"/>
      <c r="G59"/>
      <c r="H59"/>
      <c r="I59"/>
      <c r="J59"/>
      <c r="K59"/>
    </row>
    <row r="60" spans="1:11" x14ac:dyDescent="0.25">
      <c r="A60" s="4" t="s">
        <v>40</v>
      </c>
      <c r="B60"/>
      <c r="C60"/>
      <c r="D60"/>
      <c r="E60"/>
      <c r="F60"/>
      <c r="G60"/>
      <c r="H60"/>
      <c r="I60"/>
      <c r="J60"/>
      <c r="K60"/>
    </row>
    <row r="61" spans="1:11" s="1" customFormat="1" x14ac:dyDescent="0.25">
      <c r="A61" s="1" t="s">
        <v>16</v>
      </c>
      <c r="B61"/>
      <c r="C61"/>
      <c r="D61"/>
      <c r="E61"/>
      <c r="F61"/>
      <c r="G61"/>
      <c r="H61"/>
      <c r="I61"/>
      <c r="J61"/>
      <c r="K61"/>
    </row>
    <row r="62" spans="1:11" x14ac:dyDescent="0.25">
      <c r="A62" s="4" t="s">
        <v>17</v>
      </c>
      <c r="B62"/>
      <c r="C62"/>
      <c r="D62"/>
      <c r="E62"/>
      <c r="F62"/>
      <c r="G62"/>
      <c r="H62"/>
      <c r="I62"/>
      <c r="J62"/>
      <c r="K62"/>
    </row>
    <row r="63" spans="1:11" x14ac:dyDescent="0.25">
      <c r="A63" s="4" t="s">
        <v>18</v>
      </c>
      <c r="B63"/>
      <c r="C63"/>
      <c r="D63"/>
      <c r="E63"/>
      <c r="F63"/>
      <c r="G63"/>
      <c r="H63"/>
      <c r="I63"/>
      <c r="J63"/>
      <c r="K63"/>
    </row>
    <row r="64" spans="1:11" x14ac:dyDescent="0.25">
      <c r="A64" s="4" t="s">
        <v>19</v>
      </c>
      <c r="B64"/>
      <c r="C64"/>
      <c r="D64"/>
      <c r="E64"/>
      <c r="F64"/>
      <c r="G64"/>
      <c r="H64"/>
      <c r="I64"/>
      <c r="J64"/>
      <c r="K64"/>
    </row>
    <row r="65" spans="1:11" x14ac:dyDescent="0.25">
      <c r="A65" s="4" t="s">
        <v>41</v>
      </c>
      <c r="B65"/>
      <c r="C65"/>
      <c r="D65"/>
      <c r="E65"/>
      <c r="F65"/>
      <c r="G65"/>
      <c r="H65"/>
      <c r="I65"/>
      <c r="J65"/>
      <c r="K65"/>
    </row>
    <row r="66" spans="1:11" s="1" customFormat="1" x14ac:dyDescent="0.25">
      <c r="A66" s="1" t="s">
        <v>16</v>
      </c>
      <c r="B66"/>
      <c r="C66"/>
      <c r="D66"/>
      <c r="E66"/>
      <c r="F66"/>
      <c r="G66"/>
      <c r="H66"/>
      <c r="I66"/>
      <c r="J66"/>
      <c r="K66"/>
    </row>
    <row r="67" spans="1:11" s="4" customFormat="1" x14ac:dyDescent="0.25">
      <c r="A67" s="4" t="s">
        <v>46</v>
      </c>
      <c r="B67"/>
      <c r="C67"/>
      <c r="D67"/>
      <c r="E67"/>
      <c r="F67"/>
      <c r="G67"/>
      <c r="H67"/>
      <c r="I67"/>
      <c r="J67"/>
      <c r="K67"/>
    </row>
    <row r="68" spans="1:11" x14ac:dyDescent="0.25">
      <c r="A68" s="4" t="s">
        <v>33</v>
      </c>
      <c r="B68"/>
      <c r="C68"/>
      <c r="D68"/>
      <c r="E68"/>
      <c r="F68"/>
      <c r="G68"/>
      <c r="H68"/>
      <c r="I68"/>
      <c r="J68"/>
      <c r="K68"/>
    </row>
    <row r="69" spans="1:11" x14ac:dyDescent="0.25">
      <c r="A69" s="3" t="s">
        <v>55</v>
      </c>
      <c r="B69"/>
      <c r="C69"/>
      <c r="D69"/>
      <c r="E69"/>
      <c r="F69"/>
      <c r="G69"/>
      <c r="H69"/>
      <c r="I69"/>
      <c r="J69"/>
      <c r="K69"/>
    </row>
    <row r="70" spans="1:11" x14ac:dyDescent="0.25">
      <c r="A70" s="3" t="s">
        <v>42</v>
      </c>
      <c r="B70"/>
      <c r="C70"/>
      <c r="D70"/>
      <c r="E70"/>
      <c r="F70"/>
      <c r="G70"/>
      <c r="H70"/>
      <c r="I70"/>
      <c r="J70"/>
      <c r="K70"/>
    </row>
    <row r="71" spans="1:11" x14ac:dyDescent="0.25">
      <c r="A71" s="3" t="s">
        <v>43</v>
      </c>
      <c r="G71"/>
    </row>
    <row r="72" spans="1:11" x14ac:dyDescent="0.25">
      <c r="A72" s="3" t="s">
        <v>56</v>
      </c>
      <c r="B72"/>
      <c r="C72"/>
      <c r="D72"/>
      <c r="E72"/>
      <c r="F72"/>
      <c r="G72"/>
      <c r="H72"/>
      <c r="I72"/>
      <c r="J72"/>
      <c r="K72"/>
    </row>
    <row r="74" spans="1:11" x14ac:dyDescent="0.25">
      <c r="A74" s="4"/>
    </row>
    <row r="75" spans="1:11" x14ac:dyDescent="0.25">
      <c r="A75" s="4"/>
    </row>
    <row r="76" spans="1:11" x14ac:dyDescent="0.25">
      <c r="A76" s="4"/>
    </row>
    <row r="77" spans="1:11" x14ac:dyDescent="0.25">
      <c r="A77" s="4"/>
    </row>
    <row r="78" spans="1:11" x14ac:dyDescent="0.25">
      <c r="A78" s="4"/>
    </row>
    <row r="79" spans="1:11" x14ac:dyDescent="0.25">
      <c r="A79" s="4"/>
    </row>
    <row r="80" spans="1:11" x14ac:dyDescent="0.25">
      <c r="A80" s="1" t="s">
        <v>30</v>
      </c>
    </row>
    <row r="81" spans="1:11" s="8" customFormat="1" x14ac:dyDescent="0.25">
      <c r="A81" s="7" t="s">
        <v>27</v>
      </c>
      <c r="B81" s="6"/>
      <c r="C81" s="6"/>
      <c r="D81" s="6"/>
      <c r="E81" s="6"/>
      <c r="F81" s="6"/>
      <c r="G81" s="6"/>
      <c r="H81" s="6"/>
      <c r="I81" s="6"/>
      <c r="J81" s="6"/>
      <c r="K81" s="6"/>
    </row>
    <row r="82" spans="1:11" s="1" customFormat="1" x14ac:dyDescent="0.25">
      <c r="A82" s="4" t="s">
        <v>21</v>
      </c>
      <c r="B82"/>
      <c r="C82"/>
      <c r="D82"/>
      <c r="E82"/>
      <c r="F82"/>
      <c r="G82"/>
      <c r="H82"/>
      <c r="I82"/>
      <c r="J82"/>
      <c r="K82"/>
    </row>
    <row r="83" spans="1:11" s="4" customFormat="1" x14ac:dyDescent="0.25">
      <c r="A83" s="4" t="s">
        <v>22</v>
      </c>
      <c r="B83"/>
      <c r="C83"/>
      <c r="D83"/>
      <c r="E83"/>
      <c r="F83"/>
      <c r="G83"/>
      <c r="H83"/>
      <c r="I83"/>
      <c r="J83"/>
      <c r="K83"/>
    </row>
    <row r="84" spans="1:11" s="4" customFormat="1" x14ac:dyDescent="0.25">
      <c r="A84" s="4" t="s">
        <v>23</v>
      </c>
      <c r="B84"/>
      <c r="C84"/>
      <c r="D84"/>
      <c r="E84"/>
      <c r="F84"/>
      <c r="G84"/>
      <c r="H84"/>
      <c r="I84"/>
      <c r="J84"/>
      <c r="K84"/>
    </row>
    <row r="85" spans="1:11" s="1" customFormat="1" x14ac:dyDescent="0.25">
      <c r="A85" s="4" t="s">
        <v>24</v>
      </c>
      <c r="B85"/>
      <c r="C85"/>
      <c r="D85"/>
      <c r="E85"/>
      <c r="F85"/>
      <c r="G85"/>
      <c r="H85"/>
      <c r="I85"/>
      <c r="J85"/>
      <c r="K85"/>
    </row>
    <row r="86" spans="1:11" x14ac:dyDescent="0.25">
      <c r="A86" s="4"/>
    </row>
    <row r="87" spans="1:11" x14ac:dyDescent="0.25">
      <c r="A87" s="4"/>
    </row>
    <row r="88" spans="1:11" x14ac:dyDescent="0.25">
      <c r="A88" s="4"/>
    </row>
    <row r="89" spans="1:11" x14ac:dyDescent="0.25">
      <c r="A89" s="4"/>
    </row>
    <row r="90" spans="1:11" s="1" customFormat="1" x14ac:dyDescent="0.25">
      <c r="A90" s="1" t="s">
        <v>45</v>
      </c>
      <c r="B90"/>
      <c r="C90"/>
      <c r="D90"/>
      <c r="E90"/>
      <c r="F90"/>
      <c r="G90"/>
      <c r="H90"/>
      <c r="I90"/>
      <c r="J90"/>
      <c r="K90"/>
    </row>
    <row r="92" spans="1:11" s="1" customFormat="1" x14ac:dyDescent="0.25">
      <c r="A92" s="1" t="s">
        <v>44</v>
      </c>
    </row>
    <row r="93" spans="1:11" x14ac:dyDescent="0.25">
      <c r="A93" s="3" t="s">
        <v>57</v>
      </c>
      <c r="B93" s="9">
        <f>IF($B7&gt;0,(B70*B72/$B7)+SUM(C71:$K71),0)/10000000</f>
        <v>0</v>
      </c>
      <c r="C93" s="9">
        <f>IF($B7&gt;0,(C70*C72/$B7)+SUM(D71:$K71),0)/10000000</f>
        <v>0</v>
      </c>
      <c r="D93" s="9">
        <f>IF($B7&gt;0,(D70*D72/$B7)+SUM(E71:$K71),0)/10000000</f>
        <v>0</v>
      </c>
      <c r="E93" s="9">
        <f>IF($B7&gt;0,(E70*E72/$B7)+SUM(F71:$K71),0)/10000000</f>
        <v>0</v>
      </c>
      <c r="F93" s="9">
        <f>IF($B7&gt;0,(F70*F72/$B7)+SUM(G71:$K71),0)/10000000</f>
        <v>0</v>
      </c>
      <c r="G93" s="9">
        <f>IF($B7&gt;0,(G70*G72/$B7)+SUM(H71:$K71),0)/10000000</f>
        <v>0</v>
      </c>
      <c r="H93" s="9">
        <f>IF($B7&gt;0,(H70*H72/$B7)+SUM(I71:$K71),0)/10000000</f>
        <v>0</v>
      </c>
      <c r="I93" s="9">
        <f>IF($B7&gt;0,(I70*I72/$B7)+SUM(J71:$K71),0)/10000000</f>
        <v>0</v>
      </c>
      <c r="J93" s="9">
        <f>IF($B7&gt;0,(J70*J72/$B7)+SUM(K71:$K71),0)/10000000</f>
        <v>0</v>
      </c>
      <c r="K93" s="9">
        <f>IF($B7&gt;0,(K70*K72/$B7),0)/10000000</f>
        <v>0</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3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Instructions</vt:lpstr>
      <vt:lpstr>Dr Vijay Malik Analysis</vt:lpstr>
      <vt:lpstr>Version History</vt:lpstr>
      <vt:lpstr>Data Sheet</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Malik</dc:creator>
  <cp:lastModifiedBy>Dr Vijay Malik</cp:lastModifiedBy>
  <cp:lastPrinted>2012-12-06T18:14:13Z</cp:lastPrinted>
  <dcterms:created xsi:type="dcterms:W3CDTF">2012-08-17T09:55:37Z</dcterms:created>
  <dcterms:modified xsi:type="dcterms:W3CDTF">2023-09-12T16:37:24Z</dcterms:modified>
</cp:coreProperties>
</file>